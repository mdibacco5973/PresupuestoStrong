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Strong15_02_2025\Strong\Strong\Planilla\"/>
    </mc:Choice>
  </mc:AlternateContent>
  <xr:revisionPtr revIDLastSave="0" documentId="13_ncr:1_{79C3B3EC-1633-4C59-924F-65F58EFA73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3" r:id="rId2"/>
    <sheet name="Referencias" sheetId="2" r:id="rId3"/>
  </sheets>
  <calcPr calcId="191029"/>
</workbook>
</file>

<file path=xl/calcChain.xml><?xml version="1.0" encoding="utf-8"?>
<calcChain xmlns="http://schemas.openxmlformats.org/spreadsheetml/2006/main">
  <c r="L173" i="3" l="1"/>
  <c r="G173" i="3"/>
  <c r="L172" i="3"/>
  <c r="G172" i="3"/>
  <c r="L171" i="3"/>
  <c r="G171" i="3"/>
  <c r="L170" i="3"/>
  <c r="G170" i="3"/>
  <c r="L169" i="3"/>
  <c r="G169" i="3"/>
  <c r="L168" i="3"/>
  <c r="G168" i="3"/>
  <c r="L167" i="3"/>
  <c r="G167" i="3"/>
  <c r="L166" i="3"/>
  <c r="G166" i="3"/>
  <c r="L165" i="3"/>
  <c r="G165" i="3"/>
  <c r="L164" i="3"/>
  <c r="G164" i="3"/>
  <c r="L163" i="3"/>
  <c r="G163" i="3"/>
  <c r="L162" i="3"/>
  <c r="G162" i="3"/>
  <c r="L161" i="3"/>
  <c r="G161" i="3"/>
  <c r="L160" i="3"/>
  <c r="G160" i="3"/>
  <c r="L159" i="3"/>
  <c r="G159" i="3"/>
  <c r="L158" i="3"/>
  <c r="G158" i="3"/>
  <c r="L157" i="3"/>
  <c r="G157" i="3"/>
  <c r="L156" i="3"/>
  <c r="G156" i="3"/>
  <c r="L155" i="3"/>
  <c r="G155" i="3"/>
  <c r="L154" i="3"/>
  <c r="G154" i="3"/>
  <c r="L153" i="3"/>
  <c r="G153" i="3"/>
  <c r="L152" i="3"/>
  <c r="G152" i="3"/>
  <c r="L151" i="3"/>
  <c r="G151" i="3"/>
  <c r="L150" i="3"/>
  <c r="G150" i="3"/>
  <c r="L149" i="3"/>
  <c r="G149" i="3"/>
  <c r="L148" i="3"/>
  <c r="G148" i="3"/>
  <c r="L147" i="3"/>
  <c r="G147" i="3"/>
  <c r="L146" i="3"/>
  <c r="G146" i="3"/>
  <c r="L145" i="3"/>
  <c r="G145" i="3"/>
  <c r="L144" i="3"/>
  <c r="G144" i="3"/>
  <c r="L143" i="3"/>
  <c r="G143" i="3"/>
  <c r="L142" i="3"/>
  <c r="G142" i="3"/>
  <c r="L141" i="3"/>
  <c r="G141" i="3"/>
  <c r="L140" i="3"/>
  <c r="G140" i="3"/>
  <c r="L139" i="3"/>
  <c r="G139" i="3"/>
  <c r="L138" i="3"/>
  <c r="G138" i="3"/>
  <c r="L137" i="3"/>
  <c r="G137" i="3"/>
  <c r="L136" i="3"/>
  <c r="G136" i="3"/>
  <c r="L135" i="3"/>
  <c r="G135" i="3"/>
  <c r="L134" i="3"/>
  <c r="G134" i="3"/>
  <c r="L133" i="3"/>
  <c r="G133" i="3"/>
  <c r="L132" i="3"/>
  <c r="G132" i="3"/>
  <c r="L131" i="3"/>
  <c r="G131" i="3"/>
  <c r="L130" i="3"/>
  <c r="G130" i="3"/>
  <c r="L129" i="3"/>
  <c r="G129" i="3"/>
  <c r="L128" i="3"/>
  <c r="G128" i="3"/>
  <c r="L127" i="3"/>
  <c r="G127" i="3"/>
  <c r="L126" i="3"/>
  <c r="G126" i="3"/>
  <c r="L125" i="3"/>
  <c r="G125" i="3"/>
  <c r="L124" i="3"/>
  <c r="G124" i="3"/>
  <c r="L123" i="3"/>
  <c r="G123" i="3"/>
  <c r="L122" i="3"/>
  <c r="G122" i="3"/>
  <c r="L121" i="3"/>
  <c r="G121" i="3"/>
  <c r="L120" i="3"/>
  <c r="G120" i="3"/>
  <c r="L119" i="3"/>
  <c r="G119" i="3"/>
  <c r="L118" i="3"/>
  <c r="G118" i="3"/>
  <c r="L117" i="3"/>
  <c r="G117" i="3"/>
  <c r="L116" i="3"/>
  <c r="G116" i="3"/>
  <c r="L115" i="3"/>
  <c r="G115" i="3"/>
  <c r="L114" i="3"/>
  <c r="G114" i="3"/>
  <c r="L113" i="3"/>
  <c r="G113" i="3"/>
  <c r="L112" i="3"/>
  <c r="G112" i="3"/>
  <c r="L111" i="3"/>
  <c r="G111" i="3"/>
  <c r="L110" i="3"/>
  <c r="G110" i="3"/>
  <c r="L109" i="3"/>
  <c r="G109" i="3"/>
  <c r="L108" i="3"/>
  <c r="G108" i="3"/>
  <c r="L107" i="3"/>
  <c r="G107" i="3"/>
  <c r="L106" i="3"/>
  <c r="G106" i="3"/>
  <c r="L105" i="3"/>
  <c r="G105" i="3"/>
  <c r="L104" i="3"/>
  <c r="G104" i="3"/>
  <c r="L103" i="3"/>
  <c r="G103" i="3"/>
  <c r="L102" i="3"/>
  <c r="G102" i="3"/>
  <c r="L101" i="3"/>
  <c r="G101" i="3"/>
  <c r="L100" i="3"/>
  <c r="G100" i="3"/>
  <c r="L99" i="3"/>
  <c r="G99" i="3"/>
  <c r="L98" i="3"/>
  <c r="G98" i="3"/>
  <c r="L97" i="3"/>
  <c r="G97" i="3"/>
  <c r="L96" i="3"/>
  <c r="G96" i="3"/>
  <c r="L95" i="3"/>
  <c r="G95" i="3"/>
  <c r="L94" i="3"/>
  <c r="G94" i="3"/>
  <c r="L93" i="3"/>
  <c r="G93" i="3"/>
  <c r="L92" i="3"/>
  <c r="G92" i="3"/>
  <c r="L91" i="3"/>
  <c r="G91" i="3"/>
  <c r="L90" i="3"/>
  <c r="G90" i="3"/>
  <c r="L89" i="3"/>
  <c r="G89" i="3"/>
  <c r="L88" i="3"/>
  <c r="G88" i="3"/>
  <c r="L87" i="3"/>
  <c r="G87" i="3"/>
  <c r="L86" i="3"/>
  <c r="G86" i="3"/>
  <c r="L85" i="3"/>
  <c r="G85" i="3"/>
  <c r="L84" i="3"/>
  <c r="G84" i="3"/>
  <c r="L83" i="3"/>
  <c r="G83" i="3"/>
  <c r="L82" i="3"/>
  <c r="G82" i="3"/>
  <c r="L81" i="3"/>
  <c r="G81" i="3"/>
  <c r="L80" i="3"/>
  <c r="G80" i="3"/>
  <c r="L79" i="3"/>
  <c r="G79" i="3"/>
  <c r="L78" i="3"/>
  <c r="G78" i="3"/>
  <c r="L77" i="3"/>
  <c r="G77" i="3"/>
  <c r="L76" i="3"/>
  <c r="G76" i="3"/>
  <c r="L75" i="3"/>
  <c r="G75" i="3"/>
  <c r="L74" i="3"/>
  <c r="G74" i="3"/>
  <c r="L73" i="3"/>
  <c r="G73" i="3"/>
  <c r="L72" i="3"/>
  <c r="G72" i="3"/>
  <c r="L71" i="3"/>
  <c r="G71" i="3"/>
  <c r="L70" i="3"/>
  <c r="G70" i="3"/>
  <c r="L69" i="3"/>
  <c r="G69" i="3"/>
  <c r="L68" i="3"/>
  <c r="G68" i="3"/>
  <c r="L67" i="3"/>
  <c r="G67" i="3"/>
  <c r="L66" i="3"/>
  <c r="G66" i="3"/>
  <c r="L65" i="3"/>
  <c r="G65" i="3"/>
  <c r="L64" i="3"/>
  <c r="G64" i="3"/>
  <c r="L63" i="3"/>
  <c r="G63" i="3"/>
  <c r="L62" i="3"/>
  <c r="G62" i="3"/>
  <c r="L61" i="3"/>
  <c r="G61" i="3"/>
  <c r="L60" i="3"/>
  <c r="G60" i="3"/>
  <c r="L59" i="3"/>
  <c r="G59" i="3"/>
  <c r="L58" i="3"/>
  <c r="G58" i="3"/>
  <c r="L57" i="3"/>
  <c r="G57" i="3"/>
  <c r="L56" i="3"/>
  <c r="G56" i="3"/>
  <c r="L55" i="3"/>
  <c r="G55" i="3"/>
  <c r="L54" i="3"/>
  <c r="G54" i="3"/>
  <c r="L53" i="3"/>
  <c r="G53" i="3"/>
  <c r="L52" i="3"/>
  <c r="G52" i="3"/>
  <c r="L51" i="3"/>
  <c r="G51" i="3"/>
  <c r="L50" i="3"/>
  <c r="G50" i="3"/>
  <c r="L49" i="3"/>
  <c r="G49" i="3"/>
  <c r="L48" i="3"/>
  <c r="G48" i="3"/>
  <c r="L47" i="3"/>
  <c r="G47" i="3"/>
  <c r="L46" i="3"/>
  <c r="G46" i="3"/>
  <c r="L45" i="3"/>
  <c r="G45" i="3"/>
  <c r="L44" i="3"/>
  <c r="G44" i="3"/>
  <c r="L43" i="3"/>
  <c r="G43" i="3"/>
  <c r="L42" i="3"/>
  <c r="G42" i="3"/>
  <c r="L41" i="3"/>
  <c r="G41" i="3"/>
  <c r="L40" i="3"/>
  <c r="G40" i="3"/>
  <c r="L39" i="3"/>
  <c r="G39" i="3"/>
  <c r="L38" i="3"/>
  <c r="G38" i="3"/>
  <c r="L37" i="3"/>
  <c r="G37" i="3"/>
  <c r="L36" i="3"/>
  <c r="G36" i="3"/>
  <c r="L35" i="3"/>
  <c r="G35" i="3"/>
  <c r="L34" i="3"/>
  <c r="G34" i="3"/>
  <c r="L33" i="3"/>
  <c r="G33" i="3"/>
  <c r="L32" i="3"/>
  <c r="G32" i="3"/>
  <c r="L31" i="3"/>
  <c r="G31" i="3"/>
  <c r="L30" i="3"/>
  <c r="G30" i="3"/>
  <c r="N29" i="3"/>
  <c r="L29" i="3"/>
  <c r="G29" i="3"/>
  <c r="L28" i="3"/>
  <c r="G28" i="3"/>
  <c r="L27" i="3"/>
  <c r="N30" i="3" s="1"/>
  <c r="G27" i="3"/>
  <c r="L26" i="3"/>
  <c r="G26" i="3"/>
  <c r="L25" i="3"/>
  <c r="G25" i="3"/>
  <c r="L24" i="3"/>
  <c r="G24" i="3"/>
  <c r="G24" i="1"/>
  <c r="L25" i="1" l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N30" i="1" l="1"/>
  <c r="N29" i="1" l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mariano_facco@outlook.es</author>
  </authors>
  <commentList>
    <comment ref="I13" authorId="0" shapeId="0" xr:uid="{86B3EEC4-8238-4792-9CC7-0D7D8AEF397D}">
      <text>
        <r>
          <rPr>
            <b/>
            <sz val="9"/>
            <color indexed="81"/>
            <rFont val="Tahoma"/>
            <family val="2"/>
          </rPr>
          <t>UTILIZAR N°3 PARA CANTOS DE COLOR DIFERENTES AL COLOR DE LA PLACA. ESPECIFICAR COLOR Y ESPESOR.</t>
        </r>
      </text>
    </comment>
  </commentList>
</comments>
</file>

<file path=xl/sharedStrings.xml><?xml version="1.0" encoding="utf-8"?>
<sst xmlns="http://schemas.openxmlformats.org/spreadsheetml/2006/main" count="91" uniqueCount="45">
  <si>
    <t xml:space="preserve">N° </t>
  </si>
  <si>
    <t>Referencia</t>
  </si>
  <si>
    <t>Longitud</t>
  </si>
  <si>
    <t>Ancho</t>
  </si>
  <si>
    <t>Cantidad</t>
  </si>
  <si>
    <t>Veta</t>
  </si>
  <si>
    <t>Tablero</t>
  </si>
  <si>
    <t>Canto</t>
  </si>
  <si>
    <t>Material:</t>
  </si>
  <si>
    <t>Marca:</t>
  </si>
  <si>
    <t>Espesor:</t>
  </si>
  <si>
    <t>Color:</t>
  </si>
  <si>
    <t>CUIT:</t>
  </si>
  <si>
    <t>Egger</t>
  </si>
  <si>
    <t>Faplac</t>
  </si>
  <si>
    <t>Espesor Tablero</t>
  </si>
  <si>
    <t>Marca</t>
  </si>
  <si>
    <t>Sadepan</t>
  </si>
  <si>
    <t>PVC</t>
  </si>
  <si>
    <t>Espesor Canto</t>
  </si>
  <si>
    <t>Longitud (mm)</t>
  </si>
  <si>
    <t>Ancho (mm)</t>
  </si>
  <si>
    <t>Datos Cliente</t>
  </si>
  <si>
    <t>Otro</t>
  </si>
  <si>
    <t>Espesor</t>
  </si>
  <si>
    <t xml:space="preserve">Color: </t>
  </si>
  <si>
    <t>Veta:</t>
  </si>
  <si>
    <t>X</t>
  </si>
  <si>
    <t>0,45mm</t>
  </si>
  <si>
    <t>2mm</t>
  </si>
  <si>
    <t>1mm</t>
  </si>
  <si>
    <t>Otro:</t>
  </si>
  <si>
    <t>MDF</t>
  </si>
  <si>
    <t xml:space="preserve"> Aglomerado</t>
  </si>
  <si>
    <t>Canto 1</t>
  </si>
  <si>
    <t>Canto 2</t>
  </si>
  <si>
    <t xml:space="preserve">Nombre: </t>
  </si>
  <si>
    <t>Domicilio:</t>
  </si>
  <si>
    <t>Localidad:</t>
  </si>
  <si>
    <t>Telefono:</t>
  </si>
  <si>
    <t>Celular:</t>
  </si>
  <si>
    <t>E-Mail:</t>
  </si>
  <si>
    <t>Piezas</t>
  </si>
  <si>
    <t>Ninguna</t>
  </si>
  <si>
    <t>Canto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</si>
</sst>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 applyProtection="1"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2" fillId="2" borderId="4" xfId="0" applyFont="1" applyFill="1" applyBorder="1" applyProtection="1">
      <protection hidden="1"/>
    </xf>
    <xf numFmtId="0" fontId="2" fillId="2" borderId="5" xfId="0" applyFont="1" applyFill="1" applyBorder="1" applyProtection="1"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2" xfId="0" applyFont="1" applyFill="1" applyBorder="1" applyProtection="1"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vertical="center"/>
      <protection locked="0"/>
    </xf>
    <xf numFmtId="0" fontId="2" fillId="2" borderId="21" xfId="0" applyFont="1" applyFill="1" applyBorder="1" applyProtection="1">
      <protection locked="0"/>
    </xf>
    <xf numFmtId="0" fontId="5" fillId="2" borderId="0" xfId="0" applyFont="1" applyFill="1" applyAlignment="1" applyProtection="1">
      <alignment vertical="top" wrapText="1"/>
      <protection locked="0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1" fillId="4" borderId="16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1" fillId="6" borderId="0" xfId="0" applyFont="1" applyFill="1" applyAlignment="1" applyProtection="1">
      <alignment horizontal="center" vertical="center"/>
      <protection hidden="1"/>
    </xf>
    <xf numFmtId="22" fontId="2" fillId="2" borderId="11" xfId="0" applyNumberFormat="1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8" fillId="2" borderId="6" xfId="0" applyFont="1" applyFill="1" applyBorder="1" applyAlignment="1" applyProtection="1">
      <alignment horizontal="center" vertical="center"/>
      <protection hidden="1"/>
    </xf>
    <xf numFmtId="0" fontId="8" fillId="2" borderId="19" xfId="0" applyFont="1" applyFill="1" applyBorder="1" applyAlignment="1" applyProtection="1">
      <alignment horizontal="center" vertical="center"/>
      <protection hidden="1"/>
    </xf>
    <xf numFmtId="0" fontId="8" fillId="2" borderId="14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3" borderId="16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B391801-DE2D-4BE5-B7E6-426ECA9EE59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5" name="Conector recto de flecha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84275" y="2137833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6" name="Conector recto de flecha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184275" y="2476500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7" name="Conector recto de flecha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184275" y="28469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7</xdr:row>
      <xdr:rowOff>169332</xdr:rowOff>
    </xdr:to>
    <xdr:pic>
      <xdr:nvPicPr>
        <xdr:cNvPr id="9" name="Imagen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84" y="370416"/>
          <a:ext cx="3841750" cy="1280583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99886" y="1471082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16</xdr:row>
      <xdr:rowOff>0</xdr:rowOff>
    </xdr:from>
    <xdr:to>
      <xdr:col>2</xdr:col>
      <xdr:colOff>2487083</xdr:colOff>
      <xdr:row>16</xdr:row>
      <xdr:rowOff>0</xdr:rowOff>
    </xdr:to>
    <xdr:cxnSp macro="">
      <xdr:nvCxnSpPr>
        <xdr:cNvPr id="2" name="Conector recto de flecha 5">
          <a:extLst>
            <a:ext uri="{FF2B5EF4-FFF2-40B4-BE49-F238E27FC236}">
              <a16:creationId xmlns:a16="http://schemas.microsoft.com/office/drawing/2014/main" id="{E75B08E5-9A43-4B5D-BE30-5492E20E8BB9}"/>
            </a:ext>
          </a:extLst>
        </xdr:cNvPr>
        <xdr:cNvCxnSpPr/>
      </xdr:nvCxnSpPr>
      <xdr:spPr>
        <a:xfrm>
          <a:off x="1133475" y="3200400"/>
          <a:ext cx="2191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17</xdr:row>
      <xdr:rowOff>74083</xdr:rowOff>
    </xdr:from>
    <xdr:to>
      <xdr:col>2</xdr:col>
      <xdr:colOff>2465917</xdr:colOff>
      <xdr:row>17</xdr:row>
      <xdr:rowOff>76200</xdr:rowOff>
    </xdr:to>
    <xdr:cxnSp macro="">
      <xdr:nvCxnSpPr>
        <xdr:cNvPr id="3" name="Conector recto de flecha 10">
          <a:extLst>
            <a:ext uri="{FF2B5EF4-FFF2-40B4-BE49-F238E27FC236}">
              <a16:creationId xmlns:a16="http://schemas.microsoft.com/office/drawing/2014/main" id="{665756B6-E6AD-4ED9-AB1F-26BDD08F5566}"/>
            </a:ext>
          </a:extLst>
        </xdr:cNvPr>
        <xdr:cNvCxnSpPr/>
      </xdr:nvCxnSpPr>
      <xdr:spPr>
        <a:xfrm flipV="1">
          <a:off x="1133475" y="3464983"/>
          <a:ext cx="2170642" cy="21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18</xdr:row>
      <xdr:rowOff>179917</xdr:rowOff>
    </xdr:from>
    <xdr:to>
      <xdr:col>2</xdr:col>
      <xdr:colOff>2476500</xdr:colOff>
      <xdr:row>18</xdr:row>
      <xdr:rowOff>180975</xdr:rowOff>
    </xdr:to>
    <xdr:cxnSp macro="">
      <xdr:nvCxnSpPr>
        <xdr:cNvPr id="4" name="Conector recto de flecha 11">
          <a:extLst>
            <a:ext uri="{FF2B5EF4-FFF2-40B4-BE49-F238E27FC236}">
              <a16:creationId xmlns:a16="http://schemas.microsoft.com/office/drawing/2014/main" id="{F1E2FDDF-85CC-4B45-BD27-6389B6725808}"/>
            </a:ext>
          </a:extLst>
        </xdr:cNvPr>
        <xdr:cNvCxnSpPr/>
      </xdr:nvCxnSpPr>
      <xdr:spPr>
        <a:xfrm flipV="1">
          <a:off x="1133475" y="3761317"/>
          <a:ext cx="2181225" cy="1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201084</xdr:colOff>
      <xdr:row>1</xdr:row>
      <xdr:rowOff>179916</xdr:rowOff>
    </xdr:from>
    <xdr:to>
      <xdr:col>3</xdr:col>
      <xdr:colOff>603251</xdr:colOff>
      <xdr:row>8</xdr:row>
      <xdr:rowOff>131232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66F6F98F-14BD-487B-B6B6-6A33E6D6D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9" y="370416"/>
          <a:ext cx="3831167" cy="1284816"/>
        </a:xfrm>
        <a:prstGeom prst="rect">
          <a:avLst/>
        </a:prstGeom>
      </xdr:spPr>
    </xdr:pic>
    <xdr:clientData/>
  </xdr:twoCellAnchor>
  <xdr:oneCellAnchor>
    <xdr:from>
      <xdr:col>2</xdr:col>
      <xdr:colOff>353219</xdr:colOff>
      <xdr:row>6</xdr:row>
      <xdr:rowOff>179915</xdr:rowOff>
    </xdr:from>
    <xdr:ext cx="1920875" cy="656167"/>
    <xdr:sp macro="" textlink="">
      <xdr:nvSpPr>
        <xdr:cNvPr id="6" name="9 CuadroTexto">
          <a:extLst>
            <a:ext uri="{FF2B5EF4-FFF2-40B4-BE49-F238E27FC236}">
              <a16:creationId xmlns:a16="http://schemas.microsoft.com/office/drawing/2014/main" id="{C9D0458C-166B-4956-BF59-B45493A90FC4}"/>
            </a:ext>
          </a:extLst>
        </xdr:cNvPr>
        <xdr:cNvSpPr txBox="1"/>
      </xdr:nvSpPr>
      <xdr:spPr>
        <a:xfrm>
          <a:off x="1191419" y="1475315"/>
          <a:ext cx="1920875" cy="656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900"/>
            <a:t>calle</a:t>
          </a:r>
          <a:r>
            <a:rPr lang="es-AR" sz="900" baseline="0"/>
            <a:t> 111</a:t>
          </a:r>
          <a:r>
            <a:rPr lang="es-AR" sz="900"/>
            <a:t> Nº 1452 </a:t>
          </a:r>
        </a:p>
        <a:p>
          <a:pPr algn="ctr"/>
          <a:r>
            <a:rPr lang="es-AR" sz="900"/>
            <a:t>Villa</a:t>
          </a:r>
          <a:r>
            <a:rPr lang="es-AR" sz="900" baseline="0"/>
            <a:t> Lynch, San Martin</a:t>
          </a:r>
          <a:endParaRPr lang="es-AR" sz="900"/>
        </a:p>
        <a:p>
          <a:pPr algn="ctr"/>
          <a:r>
            <a:rPr lang="es-AR" sz="1100"/>
            <a:t>Telefono: (+5411)6860-1900</a:t>
          </a:r>
        </a:p>
        <a:p>
          <a:pPr algn="ctr"/>
          <a:r>
            <a:rPr lang="es-AR" sz="1100"/>
            <a:t>E-mail: ventas.madifa@gmail.com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85"/>
  <sheetViews>
    <sheetView tabSelected="1" zoomScale="90" zoomScaleNormal="90" workbookViewId="0">
      <pane xSplit="1" topLeftCell="B1" activePane="topRight" state="frozen"/>
      <selection pane="topRight" activeCell="E15" sqref="E15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55" si="0">$E$19</f>
        <v>Longitud</v>
      </c>
      <c r="H24" s="22"/>
      <c r="I24" s="22"/>
      <c r="J24" s="22"/>
      <c r="K24" s="22"/>
      <c r="L24" s="18">
        <f t="shared" ref="L24:L55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ref="G56:G87" si="2">$E$19</f>
        <v>Longitud</v>
      </c>
      <c r="H56" s="22"/>
      <c r="I56" s="22"/>
      <c r="J56" s="22"/>
      <c r="K56" s="22"/>
      <c r="L56" s="18">
        <f t="shared" ref="L56:L87" si="3">((((D56+40)*F56*(IF(I56&gt;0.5,1,0)+IF(K56&gt;0.5,1,0))))+((E56+40)*F56*(IF(H56&gt;0.5,1,0)+IF(J56&gt;0.5,1,0))))/1000</f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2"/>
        <v>Longitud</v>
      </c>
      <c r="H57" s="22"/>
      <c r="I57" s="22"/>
      <c r="J57" s="22"/>
      <c r="K57" s="22"/>
      <c r="L57" s="18">
        <f t="shared" si="3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2"/>
        <v>Longitud</v>
      </c>
      <c r="H58" s="22"/>
      <c r="I58" s="22"/>
      <c r="J58" s="22"/>
      <c r="K58" s="22"/>
      <c r="L58" s="18">
        <f t="shared" si="3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2"/>
        <v>Longitud</v>
      </c>
      <c r="H59" s="22"/>
      <c r="I59" s="22"/>
      <c r="J59" s="22"/>
      <c r="K59" s="22"/>
      <c r="L59" s="18">
        <f t="shared" si="3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2"/>
        <v>Longitud</v>
      </c>
      <c r="H60" s="22"/>
      <c r="I60" s="22"/>
      <c r="J60" s="22"/>
      <c r="K60" s="22"/>
      <c r="L60" s="18">
        <f t="shared" si="3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2"/>
        <v>Longitud</v>
      </c>
      <c r="H61" s="22"/>
      <c r="I61" s="22"/>
      <c r="J61" s="22"/>
      <c r="K61" s="22"/>
      <c r="L61" s="18">
        <f t="shared" si="3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2"/>
        <v>Longitud</v>
      </c>
      <c r="H62" s="22"/>
      <c r="I62" s="22"/>
      <c r="J62" s="22"/>
      <c r="K62" s="22"/>
      <c r="L62" s="18">
        <f t="shared" si="3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2"/>
        <v>Longitud</v>
      </c>
      <c r="H63" s="22"/>
      <c r="I63" s="22"/>
      <c r="J63" s="22"/>
      <c r="K63" s="22"/>
      <c r="L63" s="18">
        <f t="shared" si="3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2"/>
        <v>Longitud</v>
      </c>
      <c r="H64" s="22"/>
      <c r="I64" s="22"/>
      <c r="J64" s="22"/>
      <c r="K64" s="22"/>
      <c r="L64" s="18">
        <f t="shared" si="3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2"/>
        <v>Longitud</v>
      </c>
      <c r="H65" s="22"/>
      <c r="I65" s="22"/>
      <c r="J65" s="22"/>
      <c r="K65" s="22"/>
      <c r="L65" s="18">
        <f t="shared" si="3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2"/>
        <v>Longitud</v>
      </c>
      <c r="H66" s="22"/>
      <c r="I66" s="22"/>
      <c r="J66" s="22"/>
      <c r="K66" s="22"/>
      <c r="L66" s="18">
        <f t="shared" si="3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2"/>
        <v>Longitud</v>
      </c>
      <c r="H67" s="22"/>
      <c r="I67" s="22"/>
      <c r="J67" s="22"/>
      <c r="K67" s="22"/>
      <c r="L67" s="18">
        <f t="shared" si="3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2"/>
        <v>Longitud</v>
      </c>
      <c r="H68" s="22"/>
      <c r="I68" s="22"/>
      <c r="J68" s="22"/>
      <c r="K68" s="22"/>
      <c r="L68" s="18">
        <f t="shared" si="3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2"/>
        <v>Longitud</v>
      </c>
      <c r="H69" s="22"/>
      <c r="I69" s="22"/>
      <c r="J69" s="22"/>
      <c r="K69" s="22"/>
      <c r="L69" s="18">
        <f t="shared" si="3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2"/>
        <v>Longitud</v>
      </c>
      <c r="H70" s="22"/>
      <c r="I70" s="22"/>
      <c r="J70" s="22"/>
      <c r="K70" s="22"/>
      <c r="L70" s="18">
        <f t="shared" si="3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2"/>
        <v>Longitud</v>
      </c>
      <c r="H71" s="22"/>
      <c r="I71" s="22"/>
      <c r="J71" s="22"/>
      <c r="K71" s="22"/>
      <c r="L71" s="18">
        <f t="shared" si="3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2"/>
        <v>Longitud</v>
      </c>
      <c r="H72" s="22"/>
      <c r="I72" s="22"/>
      <c r="J72" s="22"/>
      <c r="K72" s="22"/>
      <c r="L72" s="18">
        <f t="shared" si="3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2"/>
        <v>Longitud</v>
      </c>
      <c r="H73" s="22"/>
      <c r="I73" s="22"/>
      <c r="J73" s="22"/>
      <c r="K73" s="22"/>
      <c r="L73" s="18">
        <f t="shared" si="3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2"/>
        <v>Longitud</v>
      </c>
      <c r="H74" s="22"/>
      <c r="I74" s="22"/>
      <c r="J74" s="22"/>
      <c r="K74" s="22"/>
      <c r="L74" s="18">
        <f t="shared" si="3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2"/>
        <v>Longitud</v>
      </c>
      <c r="H75" s="22"/>
      <c r="I75" s="22"/>
      <c r="J75" s="22"/>
      <c r="K75" s="22"/>
      <c r="L75" s="18">
        <f t="shared" si="3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2"/>
        <v>Longitud</v>
      </c>
      <c r="H76" s="22"/>
      <c r="I76" s="22"/>
      <c r="J76" s="22"/>
      <c r="K76" s="22"/>
      <c r="L76" s="18">
        <f t="shared" si="3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2"/>
        <v>Longitud</v>
      </c>
      <c r="H77" s="22"/>
      <c r="I77" s="22"/>
      <c r="J77" s="22"/>
      <c r="K77" s="22"/>
      <c r="L77" s="18">
        <f t="shared" si="3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2"/>
        <v>Longitud</v>
      </c>
      <c r="H78" s="22"/>
      <c r="I78" s="22"/>
      <c r="J78" s="22"/>
      <c r="K78" s="22"/>
      <c r="L78" s="18">
        <f t="shared" si="3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2"/>
        <v>Longitud</v>
      </c>
      <c r="H79" s="22"/>
      <c r="I79" s="22"/>
      <c r="J79" s="22"/>
      <c r="K79" s="22"/>
      <c r="L79" s="18">
        <f t="shared" si="3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2"/>
        <v>Longitud</v>
      </c>
      <c r="H80" s="22"/>
      <c r="I80" s="22"/>
      <c r="J80" s="22"/>
      <c r="K80" s="22"/>
      <c r="L80" s="18">
        <f t="shared" si="3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2"/>
        <v>Longitud</v>
      </c>
      <c r="H81" s="22"/>
      <c r="I81" s="22"/>
      <c r="J81" s="22"/>
      <c r="K81" s="22"/>
      <c r="L81" s="18">
        <f t="shared" si="3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2"/>
        <v>Longitud</v>
      </c>
      <c r="H82" s="22"/>
      <c r="I82" s="22"/>
      <c r="J82" s="22"/>
      <c r="K82" s="22"/>
      <c r="L82" s="18">
        <f t="shared" si="3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2"/>
        <v>Longitud</v>
      </c>
      <c r="H83" s="22"/>
      <c r="I83" s="22"/>
      <c r="J83" s="22"/>
      <c r="K83" s="22"/>
      <c r="L83" s="18">
        <f t="shared" si="3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2"/>
        <v>Longitud</v>
      </c>
      <c r="H84" s="22"/>
      <c r="I84" s="22"/>
      <c r="J84" s="22"/>
      <c r="K84" s="22"/>
      <c r="L84" s="18">
        <f t="shared" si="3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2"/>
        <v>Longitud</v>
      </c>
      <c r="H85" s="22"/>
      <c r="I85" s="22"/>
      <c r="J85" s="22"/>
      <c r="K85" s="22"/>
      <c r="L85" s="18">
        <f t="shared" si="3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2"/>
        <v>Longitud</v>
      </c>
      <c r="H86" s="22"/>
      <c r="I86" s="22"/>
      <c r="J86" s="22"/>
      <c r="K86" s="22"/>
      <c r="L86" s="18">
        <f t="shared" si="3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2"/>
        <v>Longitud</v>
      </c>
      <c r="H87" s="22"/>
      <c r="I87" s="22"/>
      <c r="J87" s="22"/>
      <c r="K87" s="22"/>
      <c r="L87" s="18">
        <f t="shared" si="3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19" si="4">$E$19</f>
        <v>Longitud</v>
      </c>
      <c r="H88" s="22"/>
      <c r="I88" s="22"/>
      <c r="J88" s="22"/>
      <c r="K88" s="22"/>
      <c r="L88" s="18">
        <f t="shared" ref="L88:L119" si="5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4"/>
        <v>Longitud</v>
      </c>
      <c r="H89" s="22"/>
      <c r="I89" s="22"/>
      <c r="J89" s="22"/>
      <c r="K89" s="22"/>
      <c r="L89" s="18">
        <f t="shared" si="5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4"/>
        <v>Longitud</v>
      </c>
      <c r="H90" s="22"/>
      <c r="I90" s="22"/>
      <c r="J90" s="22"/>
      <c r="K90" s="22"/>
      <c r="L90" s="18">
        <f t="shared" si="5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4"/>
        <v>Longitud</v>
      </c>
      <c r="H91" s="22"/>
      <c r="I91" s="22"/>
      <c r="J91" s="22"/>
      <c r="K91" s="22"/>
      <c r="L91" s="18">
        <f t="shared" si="5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4"/>
        <v>Longitud</v>
      </c>
      <c r="H92" s="22"/>
      <c r="I92" s="22"/>
      <c r="J92" s="22"/>
      <c r="K92" s="22"/>
      <c r="L92" s="18">
        <f t="shared" si="5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4"/>
        <v>Longitud</v>
      </c>
      <c r="H93" s="22"/>
      <c r="I93" s="22"/>
      <c r="J93" s="22"/>
      <c r="K93" s="22"/>
      <c r="L93" s="18">
        <f t="shared" si="5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4"/>
        <v>Longitud</v>
      </c>
      <c r="H94" s="22"/>
      <c r="I94" s="22"/>
      <c r="J94" s="22"/>
      <c r="K94" s="22"/>
      <c r="L94" s="18">
        <f t="shared" si="5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4"/>
        <v>Longitud</v>
      </c>
      <c r="H95" s="22"/>
      <c r="I95" s="22"/>
      <c r="J95" s="22"/>
      <c r="K95" s="22"/>
      <c r="L95" s="18">
        <f t="shared" si="5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4"/>
        <v>Longitud</v>
      </c>
      <c r="H96" s="22"/>
      <c r="I96" s="22"/>
      <c r="J96" s="22"/>
      <c r="K96" s="22"/>
      <c r="L96" s="18">
        <f t="shared" si="5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4"/>
        <v>Longitud</v>
      </c>
      <c r="H97" s="22"/>
      <c r="I97" s="22"/>
      <c r="J97" s="22"/>
      <c r="K97" s="22"/>
      <c r="L97" s="18">
        <f t="shared" si="5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4"/>
        <v>Longitud</v>
      </c>
      <c r="H98" s="22"/>
      <c r="I98" s="22"/>
      <c r="J98" s="22"/>
      <c r="K98" s="22"/>
      <c r="L98" s="18">
        <f t="shared" si="5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4"/>
        <v>Longitud</v>
      </c>
      <c r="H99" s="22"/>
      <c r="I99" s="22"/>
      <c r="J99" s="22"/>
      <c r="K99" s="22"/>
      <c r="L99" s="18">
        <f t="shared" si="5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4"/>
        <v>Longitud</v>
      </c>
      <c r="H100" s="22"/>
      <c r="I100" s="22"/>
      <c r="J100" s="22"/>
      <c r="K100" s="22"/>
      <c r="L100" s="18">
        <f t="shared" si="5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4"/>
        <v>Longitud</v>
      </c>
      <c r="H101" s="22"/>
      <c r="I101" s="22"/>
      <c r="J101" s="22"/>
      <c r="K101" s="22"/>
      <c r="L101" s="18">
        <f t="shared" si="5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4"/>
        <v>Longitud</v>
      </c>
      <c r="H102" s="22"/>
      <c r="I102" s="22"/>
      <c r="J102" s="22"/>
      <c r="K102" s="22"/>
      <c r="L102" s="18">
        <f t="shared" si="5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4"/>
        <v>Longitud</v>
      </c>
      <c r="H103" s="22"/>
      <c r="I103" s="22"/>
      <c r="J103" s="22"/>
      <c r="K103" s="22"/>
      <c r="L103" s="18">
        <f t="shared" si="5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4"/>
        <v>Longitud</v>
      </c>
      <c r="H104" s="22"/>
      <c r="I104" s="22"/>
      <c r="J104" s="22"/>
      <c r="K104" s="22"/>
      <c r="L104" s="18">
        <f t="shared" si="5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4"/>
        <v>Longitud</v>
      </c>
      <c r="H105" s="22"/>
      <c r="I105" s="22"/>
      <c r="J105" s="22"/>
      <c r="K105" s="22"/>
      <c r="L105" s="18">
        <f t="shared" si="5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4"/>
        <v>Longitud</v>
      </c>
      <c r="H106" s="22"/>
      <c r="I106" s="22"/>
      <c r="J106" s="22"/>
      <c r="K106" s="22"/>
      <c r="L106" s="18">
        <f t="shared" si="5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4"/>
        <v>Longitud</v>
      </c>
      <c r="H107" s="22"/>
      <c r="I107" s="22"/>
      <c r="J107" s="22"/>
      <c r="K107" s="22"/>
      <c r="L107" s="18">
        <f t="shared" si="5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4"/>
        <v>Longitud</v>
      </c>
      <c r="H108" s="22"/>
      <c r="I108" s="22"/>
      <c r="J108" s="22"/>
      <c r="K108" s="22"/>
      <c r="L108" s="18">
        <f t="shared" si="5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4"/>
        <v>Longitud</v>
      </c>
      <c r="H109" s="22"/>
      <c r="I109" s="22"/>
      <c r="J109" s="22"/>
      <c r="K109" s="22"/>
      <c r="L109" s="18">
        <f t="shared" si="5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4"/>
        <v>Longitud</v>
      </c>
      <c r="H110" s="22"/>
      <c r="I110" s="22"/>
      <c r="J110" s="22"/>
      <c r="K110" s="22"/>
      <c r="L110" s="18">
        <f t="shared" si="5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4"/>
        <v>Longitud</v>
      </c>
      <c r="H111" s="22"/>
      <c r="I111" s="22"/>
      <c r="J111" s="22"/>
      <c r="K111" s="22"/>
      <c r="L111" s="18">
        <f t="shared" si="5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4"/>
        <v>Longitud</v>
      </c>
      <c r="H112" s="22"/>
      <c r="I112" s="22"/>
      <c r="J112" s="22"/>
      <c r="K112" s="22"/>
      <c r="L112" s="18">
        <f t="shared" si="5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4"/>
        <v>Longitud</v>
      </c>
      <c r="H113" s="22"/>
      <c r="I113" s="22"/>
      <c r="J113" s="22"/>
      <c r="K113" s="22"/>
      <c r="L113" s="18">
        <f t="shared" si="5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4"/>
        <v>Longitud</v>
      </c>
      <c r="H114" s="22"/>
      <c r="I114" s="22"/>
      <c r="J114" s="22"/>
      <c r="K114" s="22"/>
      <c r="L114" s="18">
        <f t="shared" si="5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4"/>
        <v>Longitud</v>
      </c>
      <c r="H115" s="22"/>
      <c r="I115" s="22"/>
      <c r="J115" s="22"/>
      <c r="K115" s="22"/>
      <c r="L115" s="18">
        <f t="shared" si="5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4"/>
        <v>Longitud</v>
      </c>
      <c r="H116" s="22"/>
      <c r="I116" s="22"/>
      <c r="J116" s="22"/>
      <c r="K116" s="22"/>
      <c r="L116" s="18">
        <f t="shared" si="5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4"/>
        <v>Longitud</v>
      </c>
      <c r="H117" s="22"/>
      <c r="I117" s="22"/>
      <c r="J117" s="22"/>
      <c r="K117" s="22"/>
      <c r="L117" s="18">
        <f t="shared" si="5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4"/>
        <v>Longitud</v>
      </c>
      <c r="H118" s="22"/>
      <c r="I118" s="22"/>
      <c r="J118" s="22"/>
      <c r="K118" s="22"/>
      <c r="L118" s="18">
        <f t="shared" si="5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4"/>
        <v>Longitud</v>
      </c>
      <c r="H119" s="22"/>
      <c r="I119" s="22"/>
      <c r="J119" s="22"/>
      <c r="K119" s="22"/>
      <c r="L119" s="18">
        <f t="shared" si="5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ref="G120:G151" si="6">$E$19</f>
        <v>Longitud</v>
      </c>
      <c r="H120" s="22"/>
      <c r="I120" s="22"/>
      <c r="J120" s="22"/>
      <c r="K120" s="22"/>
      <c r="L120" s="18">
        <f t="shared" ref="L120:L151" si="7">((((D120+40)*F120*(IF(I120&gt;0.5,1,0)+IF(K120&gt;0.5,1,0))))+((E120+40)*F120*(IF(H120&gt;0.5,1,0)+IF(J120&gt;0.5,1,0))))/1000</f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6"/>
        <v>Longitud</v>
      </c>
      <c r="H121" s="22"/>
      <c r="I121" s="22"/>
      <c r="J121" s="22"/>
      <c r="K121" s="22"/>
      <c r="L121" s="18">
        <f t="shared" si="7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6"/>
        <v>Longitud</v>
      </c>
      <c r="H122" s="22"/>
      <c r="I122" s="22"/>
      <c r="J122" s="22"/>
      <c r="K122" s="22"/>
      <c r="L122" s="18">
        <f t="shared" si="7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6"/>
        <v>Longitud</v>
      </c>
      <c r="H123" s="22"/>
      <c r="I123" s="22"/>
      <c r="J123" s="22"/>
      <c r="K123" s="22"/>
      <c r="L123" s="18">
        <f t="shared" si="7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6"/>
        <v>Longitud</v>
      </c>
      <c r="H124" s="22"/>
      <c r="I124" s="22"/>
      <c r="J124" s="22"/>
      <c r="K124" s="22"/>
      <c r="L124" s="18">
        <f t="shared" si="7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6"/>
        <v>Longitud</v>
      </c>
      <c r="H125" s="22"/>
      <c r="I125" s="22"/>
      <c r="J125" s="22"/>
      <c r="K125" s="22"/>
      <c r="L125" s="18">
        <f t="shared" si="7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6"/>
        <v>Longitud</v>
      </c>
      <c r="H126" s="22"/>
      <c r="I126" s="22"/>
      <c r="J126" s="22"/>
      <c r="K126" s="22"/>
      <c r="L126" s="18">
        <f t="shared" si="7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6"/>
        <v>Longitud</v>
      </c>
      <c r="H127" s="22"/>
      <c r="I127" s="22"/>
      <c r="J127" s="22"/>
      <c r="K127" s="22"/>
      <c r="L127" s="18">
        <f t="shared" si="7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6"/>
        <v>Longitud</v>
      </c>
      <c r="H128" s="22"/>
      <c r="I128" s="22"/>
      <c r="J128" s="22"/>
      <c r="K128" s="22"/>
      <c r="L128" s="18">
        <f t="shared" si="7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6"/>
        <v>Longitud</v>
      </c>
      <c r="H129" s="22"/>
      <c r="I129" s="22"/>
      <c r="J129" s="22"/>
      <c r="K129" s="22"/>
      <c r="L129" s="18">
        <f t="shared" si="7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6"/>
        <v>Longitud</v>
      </c>
      <c r="H130" s="22"/>
      <c r="I130" s="22"/>
      <c r="J130" s="22"/>
      <c r="K130" s="22"/>
      <c r="L130" s="18">
        <f t="shared" si="7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6"/>
        <v>Longitud</v>
      </c>
      <c r="H131" s="22"/>
      <c r="I131" s="22"/>
      <c r="J131" s="22"/>
      <c r="K131" s="22"/>
      <c r="L131" s="18">
        <f t="shared" si="7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6"/>
        <v>Longitud</v>
      </c>
      <c r="H132" s="22"/>
      <c r="I132" s="22"/>
      <c r="J132" s="22"/>
      <c r="K132" s="22"/>
      <c r="L132" s="18">
        <f t="shared" si="7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6"/>
        <v>Longitud</v>
      </c>
      <c r="H133" s="22"/>
      <c r="I133" s="22"/>
      <c r="J133" s="22"/>
      <c r="K133" s="22"/>
      <c r="L133" s="18">
        <f t="shared" si="7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6"/>
        <v>Longitud</v>
      </c>
      <c r="H134" s="22"/>
      <c r="I134" s="22"/>
      <c r="J134" s="22"/>
      <c r="K134" s="22"/>
      <c r="L134" s="18">
        <f t="shared" si="7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6"/>
        <v>Longitud</v>
      </c>
      <c r="H135" s="22"/>
      <c r="I135" s="22"/>
      <c r="J135" s="22"/>
      <c r="K135" s="22"/>
      <c r="L135" s="18">
        <f t="shared" si="7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6"/>
        <v>Longitud</v>
      </c>
      <c r="H136" s="22"/>
      <c r="I136" s="22"/>
      <c r="J136" s="22"/>
      <c r="K136" s="22"/>
      <c r="L136" s="18">
        <f t="shared" si="7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6"/>
        <v>Longitud</v>
      </c>
      <c r="H137" s="22"/>
      <c r="I137" s="22"/>
      <c r="J137" s="22"/>
      <c r="K137" s="22"/>
      <c r="L137" s="18">
        <f t="shared" si="7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6"/>
        <v>Longitud</v>
      </c>
      <c r="H138" s="22"/>
      <c r="I138" s="22"/>
      <c r="J138" s="22"/>
      <c r="K138" s="22"/>
      <c r="L138" s="18">
        <f t="shared" si="7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6"/>
        <v>Longitud</v>
      </c>
      <c r="H139" s="22"/>
      <c r="I139" s="22"/>
      <c r="J139" s="22"/>
      <c r="K139" s="22"/>
      <c r="L139" s="18">
        <f t="shared" si="7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6"/>
        <v>Longitud</v>
      </c>
      <c r="H140" s="22"/>
      <c r="I140" s="22"/>
      <c r="J140" s="22"/>
      <c r="K140" s="22"/>
      <c r="L140" s="18">
        <f t="shared" si="7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6"/>
        <v>Longitud</v>
      </c>
      <c r="H141" s="22"/>
      <c r="I141" s="22"/>
      <c r="J141" s="22"/>
      <c r="K141" s="22"/>
      <c r="L141" s="18">
        <f t="shared" si="7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6"/>
        <v>Longitud</v>
      </c>
      <c r="H142" s="22"/>
      <c r="I142" s="22"/>
      <c r="J142" s="22"/>
      <c r="K142" s="22"/>
      <c r="L142" s="18">
        <f t="shared" si="7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6"/>
        <v>Longitud</v>
      </c>
      <c r="H143" s="22"/>
      <c r="I143" s="22"/>
      <c r="J143" s="22"/>
      <c r="K143" s="22"/>
      <c r="L143" s="18">
        <f t="shared" si="7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6"/>
        <v>Longitud</v>
      </c>
      <c r="H144" s="22"/>
      <c r="I144" s="22"/>
      <c r="J144" s="22"/>
      <c r="K144" s="22"/>
      <c r="L144" s="18">
        <f t="shared" si="7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6"/>
        <v>Longitud</v>
      </c>
      <c r="H145" s="22"/>
      <c r="I145" s="22"/>
      <c r="J145" s="22"/>
      <c r="K145" s="22"/>
      <c r="L145" s="18">
        <f t="shared" si="7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6"/>
        <v>Longitud</v>
      </c>
      <c r="H146" s="22"/>
      <c r="I146" s="22"/>
      <c r="J146" s="22"/>
      <c r="K146" s="22"/>
      <c r="L146" s="18">
        <f t="shared" si="7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6"/>
        <v>Longitud</v>
      </c>
      <c r="H147" s="22"/>
      <c r="I147" s="22"/>
      <c r="J147" s="22"/>
      <c r="K147" s="22"/>
      <c r="L147" s="18">
        <f t="shared" si="7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6"/>
        <v>Longitud</v>
      </c>
      <c r="H148" s="22"/>
      <c r="I148" s="22"/>
      <c r="J148" s="22"/>
      <c r="K148" s="22"/>
      <c r="L148" s="18">
        <f t="shared" si="7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6"/>
        <v>Longitud</v>
      </c>
      <c r="H149" s="22"/>
      <c r="I149" s="22"/>
      <c r="J149" s="22"/>
      <c r="K149" s="22"/>
      <c r="L149" s="18">
        <f t="shared" si="7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6"/>
        <v>Longitud</v>
      </c>
      <c r="H150" s="22"/>
      <c r="I150" s="22"/>
      <c r="J150" s="22"/>
      <c r="K150" s="22"/>
      <c r="L150" s="18">
        <f t="shared" si="7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6"/>
        <v>Longitud</v>
      </c>
      <c r="H151" s="22"/>
      <c r="I151" s="22"/>
      <c r="J151" s="22"/>
      <c r="K151" s="22"/>
      <c r="L151" s="18">
        <f t="shared" si="7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8">$E$19</f>
        <v>Longitud</v>
      </c>
      <c r="H152" s="22"/>
      <c r="I152" s="22"/>
      <c r="J152" s="22"/>
      <c r="K152" s="22"/>
      <c r="L152" s="18">
        <f t="shared" ref="L152:L173" si="9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8"/>
        <v>Longitud</v>
      </c>
      <c r="H153" s="22"/>
      <c r="I153" s="22"/>
      <c r="J153" s="22"/>
      <c r="K153" s="22"/>
      <c r="L153" s="18">
        <f t="shared" si="9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8"/>
        <v>Longitud</v>
      </c>
      <c r="H154" s="22"/>
      <c r="I154" s="22"/>
      <c r="J154" s="22"/>
      <c r="K154" s="22"/>
      <c r="L154" s="18">
        <f t="shared" si="9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8"/>
        <v>Longitud</v>
      </c>
      <c r="H155" s="22"/>
      <c r="I155" s="22"/>
      <c r="J155" s="22"/>
      <c r="K155" s="22"/>
      <c r="L155" s="18">
        <f t="shared" si="9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8"/>
        <v>Longitud</v>
      </c>
      <c r="H156" s="22"/>
      <c r="I156" s="22"/>
      <c r="J156" s="22"/>
      <c r="K156" s="22"/>
      <c r="L156" s="18">
        <f t="shared" si="9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8"/>
        <v>Longitud</v>
      </c>
      <c r="H157" s="22"/>
      <c r="I157" s="22"/>
      <c r="J157" s="22"/>
      <c r="K157" s="22"/>
      <c r="L157" s="18">
        <f t="shared" si="9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8"/>
        <v>Longitud</v>
      </c>
      <c r="H158" s="22"/>
      <c r="I158" s="22"/>
      <c r="J158" s="22"/>
      <c r="K158" s="22"/>
      <c r="L158" s="18">
        <f t="shared" si="9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8"/>
        <v>Longitud</v>
      </c>
      <c r="H159" s="22"/>
      <c r="I159" s="22"/>
      <c r="J159" s="22"/>
      <c r="K159" s="22"/>
      <c r="L159" s="18">
        <f t="shared" si="9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8"/>
        <v>Longitud</v>
      </c>
      <c r="H160" s="22"/>
      <c r="I160" s="22"/>
      <c r="J160" s="22"/>
      <c r="K160" s="22"/>
      <c r="L160" s="18">
        <f t="shared" si="9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8"/>
        <v>Longitud</v>
      </c>
      <c r="H161" s="22"/>
      <c r="I161" s="22"/>
      <c r="J161" s="22"/>
      <c r="K161" s="22"/>
      <c r="L161" s="18">
        <f t="shared" si="9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8"/>
        <v>Longitud</v>
      </c>
      <c r="H162" s="22"/>
      <c r="I162" s="22"/>
      <c r="J162" s="22"/>
      <c r="K162" s="22"/>
      <c r="L162" s="18">
        <f t="shared" si="9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8"/>
        <v>Longitud</v>
      </c>
      <c r="H163" s="22"/>
      <c r="I163" s="22"/>
      <c r="J163" s="22"/>
      <c r="K163" s="22"/>
      <c r="L163" s="18">
        <f t="shared" si="9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8"/>
        <v>Longitud</v>
      </c>
      <c r="H164" s="22"/>
      <c r="I164" s="22"/>
      <c r="J164" s="22"/>
      <c r="K164" s="22"/>
      <c r="L164" s="18">
        <f t="shared" si="9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8"/>
        <v>Longitud</v>
      </c>
      <c r="H165" s="22"/>
      <c r="I165" s="22"/>
      <c r="J165" s="22"/>
      <c r="K165" s="22"/>
      <c r="L165" s="18">
        <f t="shared" si="9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8"/>
        <v>Longitud</v>
      </c>
      <c r="H166" s="22"/>
      <c r="I166" s="22"/>
      <c r="J166" s="22"/>
      <c r="K166" s="22"/>
      <c r="L166" s="18">
        <f t="shared" si="9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8"/>
        <v>Longitud</v>
      </c>
      <c r="H167" s="22"/>
      <c r="I167" s="22"/>
      <c r="J167" s="22"/>
      <c r="K167" s="22"/>
      <c r="L167" s="18">
        <f t="shared" si="9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8"/>
        <v>Longitud</v>
      </c>
      <c r="H168" s="22"/>
      <c r="I168" s="22"/>
      <c r="J168" s="22"/>
      <c r="K168" s="22"/>
      <c r="L168" s="18">
        <f t="shared" si="9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8"/>
        <v>Longitud</v>
      </c>
      <c r="H169" s="22"/>
      <c r="I169" s="22"/>
      <c r="J169" s="22"/>
      <c r="K169" s="22"/>
      <c r="L169" s="18">
        <f t="shared" si="9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8"/>
        <v>Longitud</v>
      </c>
      <c r="H170" s="22"/>
      <c r="I170" s="22"/>
      <c r="J170" s="22"/>
      <c r="K170" s="22"/>
      <c r="L170" s="18">
        <f t="shared" si="9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8"/>
        <v>Longitud</v>
      </c>
      <c r="H171" s="22"/>
      <c r="I171" s="22"/>
      <c r="J171" s="22"/>
      <c r="K171" s="22"/>
      <c r="L171" s="18">
        <f t="shared" si="9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8"/>
        <v>Longitud</v>
      </c>
      <c r="H172" s="22"/>
      <c r="I172" s="22"/>
      <c r="J172" s="22"/>
      <c r="K172" s="22"/>
      <c r="L172" s="18">
        <f t="shared" si="9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8"/>
        <v>Longitud</v>
      </c>
      <c r="H173" s="22"/>
      <c r="I173" s="22"/>
      <c r="J173" s="22"/>
      <c r="K173" s="22"/>
      <c r="L173" s="18">
        <f t="shared" si="9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22:B23"/>
    <mergeCell ref="C22:C23"/>
    <mergeCell ref="H22:K22"/>
    <mergeCell ref="D22:F22"/>
    <mergeCell ref="E3:K3"/>
    <mergeCell ref="J18:J19"/>
    <mergeCell ref="B11:E11"/>
    <mergeCell ref="C16:C20"/>
    <mergeCell ref="B16:B20"/>
    <mergeCell ref="G4:I4"/>
    <mergeCell ref="G5:I5"/>
    <mergeCell ref="G6:I6"/>
    <mergeCell ref="G7:I7"/>
    <mergeCell ref="H18:H19"/>
    <mergeCell ref="I20:I21"/>
  </mergeCells>
  <pageMargins left="0.70866141732283472" right="0.70866141732283472" top="0.74803149606299213" bottom="0.74803149606299213" header="0.31496062992125984" footer="0.31496062992125984"/>
  <pageSetup paperSize="133" scale="34" fitToHeight="6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Referencias!$B$3:$E$3</xm:f>
          </x14:formula1>
          <xm:sqref>E16</xm:sqref>
        </x14:dataValidation>
        <x14:dataValidation type="list" allowBlank="1" showInputMessage="1" showErrorMessage="1" xr:uid="{00000000-0002-0000-0000-000001000000}">
          <x14:formula1>
            <xm:f>Referencias!$B$2:$K$2</xm:f>
          </x14:formula1>
          <xm:sqref>E17</xm:sqref>
        </x14:dataValidation>
        <x14:dataValidation type="list" allowBlank="1" showInputMessage="1" showErrorMessage="1" xr:uid="{00000000-0002-0000-0000-000002000000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00000000-0002-0000-0000-000003000000}">
          <x14:formula1>
            <xm:f>Referencias!$B$6:$D$6</xm:f>
          </x14:formula1>
          <xm:sqref>E19</xm:sqref>
        </x14:dataValidation>
        <x14:dataValidation type="list" allowBlank="1" showInputMessage="1" showErrorMessage="1" xr:uid="{00000000-0002-0000-0000-000004000000}">
          <x14:formula1>
            <xm:f>Referencias!$B$1:$D$1</xm:f>
          </x14:formula1>
          <xm:sqref>E15</xm:sqref>
        </x14:dataValidation>
        <x14:dataValidation type="list" allowBlank="1" showInputMessage="1" showErrorMessage="1" xr:uid="{00000000-0002-0000-0000-000005000000}">
          <x14:formula1>
            <xm:f>Referencias!$A$8:$E$8</xm:f>
          </x14:formula1>
          <xm:sqref>H24:K173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736B-1562-4673-8CCE-15C5BF59F540}">
  <dimension ref="A1:P585"/>
  <sheetViews>
    <sheetView workbookViewId="0">
      <selection activeCell="E15" sqref="E15"/>
    </sheetView>
  </sheetViews>
  <sheetFormatPr baseColWidth="10" defaultRowHeight="15" x14ac:dyDescent="0.25"/>
  <cols>
    <col min="1" max="1" width="1.85546875" style="41" customWidth="1"/>
    <col min="2" max="2" width="10.7109375" style="21" customWidth="1"/>
    <col min="3" max="3" width="40.7109375" style="21" customWidth="1"/>
    <col min="4" max="6" width="15.7109375" style="21" customWidth="1"/>
    <col min="7" max="7" width="9.42578125" style="21" customWidth="1"/>
    <col min="8" max="11" width="10.7109375" style="21" customWidth="1"/>
    <col min="12" max="12" width="9.42578125" style="18" hidden="1" customWidth="1"/>
    <col min="13" max="13" width="1.28515625" style="41" customWidth="1"/>
    <col min="14" max="14" width="22.28515625" style="41" hidden="1" customWidth="1"/>
    <col min="15" max="16" width="11.42578125" style="41"/>
    <col min="17" max="16384" width="11.42578125" style="18"/>
  </cols>
  <sheetData>
    <row r="1" spans="1:16" s="41" customFormat="1" x14ac:dyDescent="0.25"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6" s="5" customFormat="1" ht="2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4"/>
      <c r="M2" s="1"/>
      <c r="N2" s="1"/>
      <c r="O2" s="1"/>
      <c r="P2" s="1"/>
    </row>
    <row r="3" spans="1:16" s="5" customFormat="1" ht="21" x14ac:dyDescent="0.35">
      <c r="A3" s="1"/>
      <c r="B3" s="50"/>
      <c r="C3" s="7"/>
      <c r="D3" s="7"/>
      <c r="E3" s="51" t="s">
        <v>22</v>
      </c>
      <c r="F3" s="51"/>
      <c r="G3" s="51"/>
      <c r="H3" s="51"/>
      <c r="I3" s="51"/>
      <c r="J3" s="51"/>
      <c r="K3" s="52"/>
      <c r="M3" s="1"/>
      <c r="N3" s="1"/>
      <c r="O3" s="1"/>
      <c r="P3" s="1"/>
    </row>
    <row r="4" spans="1:16" s="5" customFormat="1" ht="15" customHeight="1" x14ac:dyDescent="0.35">
      <c r="A4" s="1"/>
      <c r="B4" s="6"/>
      <c r="C4" s="7"/>
      <c r="D4" s="7"/>
      <c r="E4" s="32" t="s">
        <v>36</v>
      </c>
      <c r="F4" s="31"/>
      <c r="G4" s="60"/>
      <c r="H4" s="60"/>
      <c r="I4" s="60"/>
      <c r="J4" s="7"/>
      <c r="K4" s="8"/>
      <c r="M4" s="1"/>
      <c r="N4" s="1"/>
      <c r="O4" s="1"/>
      <c r="P4" s="1"/>
    </row>
    <row r="5" spans="1:16" s="5" customFormat="1" ht="15" customHeight="1" x14ac:dyDescent="0.35">
      <c r="A5" s="1"/>
      <c r="B5" s="6"/>
      <c r="C5" s="7"/>
      <c r="D5" s="7"/>
      <c r="E5" s="32" t="s">
        <v>37</v>
      </c>
      <c r="F5" s="31"/>
      <c r="G5" s="60"/>
      <c r="H5" s="60"/>
      <c r="I5" s="60"/>
      <c r="J5" s="7"/>
      <c r="K5" s="8"/>
      <c r="M5" s="1"/>
      <c r="N5" s="1"/>
      <c r="O5" s="1"/>
      <c r="P5" s="1"/>
    </row>
    <row r="6" spans="1:16" s="5" customFormat="1" ht="15" customHeight="1" x14ac:dyDescent="0.35">
      <c r="A6" s="1"/>
      <c r="B6" s="6"/>
      <c r="C6" s="7"/>
      <c r="D6" s="7"/>
      <c r="E6" s="32" t="s">
        <v>38</v>
      </c>
      <c r="F6" s="31"/>
      <c r="G6" s="60"/>
      <c r="H6" s="60"/>
      <c r="I6" s="60"/>
      <c r="J6" s="7"/>
      <c r="K6" s="8"/>
      <c r="M6" s="1"/>
      <c r="N6" s="1"/>
      <c r="O6" s="1"/>
      <c r="P6" s="1"/>
    </row>
    <row r="7" spans="1:16" s="5" customFormat="1" ht="15" customHeight="1" x14ac:dyDescent="0.35">
      <c r="A7" s="1"/>
      <c r="B7" s="6"/>
      <c r="C7" s="7"/>
      <c r="D7" s="7"/>
      <c r="E7" s="32" t="s">
        <v>39</v>
      </c>
      <c r="F7" s="31"/>
      <c r="G7" s="60"/>
      <c r="H7" s="60"/>
      <c r="I7" s="60"/>
      <c r="J7" s="7"/>
      <c r="K7" s="8"/>
      <c r="M7" s="1"/>
      <c r="N7" s="1"/>
      <c r="O7" s="1"/>
      <c r="P7" s="1"/>
    </row>
    <row r="8" spans="1:16" s="5" customFormat="1" ht="15" customHeight="1" thickBot="1" x14ac:dyDescent="0.4">
      <c r="A8" s="1"/>
      <c r="B8" s="6"/>
      <c r="C8" s="7"/>
      <c r="D8" s="7"/>
      <c r="E8" s="32" t="s">
        <v>40</v>
      </c>
      <c r="F8" s="31"/>
      <c r="G8" s="31"/>
      <c r="H8" s="31"/>
      <c r="M8" s="1"/>
      <c r="N8" s="1"/>
      <c r="O8" s="1"/>
      <c r="P8" s="1"/>
    </row>
    <row r="9" spans="1:16" s="5" customFormat="1" ht="15" customHeight="1" thickBot="1" x14ac:dyDescent="0.4">
      <c r="A9" s="1"/>
      <c r="B9" s="6"/>
      <c r="C9" s="7"/>
      <c r="D9" s="7"/>
      <c r="E9" s="32" t="s">
        <v>41</v>
      </c>
      <c r="F9" s="31"/>
      <c r="G9" s="48"/>
      <c r="H9" s="48"/>
      <c r="I9" s="13" t="s">
        <v>34</v>
      </c>
      <c r="J9" s="13" t="s">
        <v>24</v>
      </c>
      <c r="K9" s="38"/>
      <c r="M9" s="1"/>
      <c r="N9" s="1"/>
      <c r="O9" s="1"/>
      <c r="P9" s="1"/>
    </row>
    <row r="10" spans="1:16" s="5" customFormat="1" ht="15" customHeight="1" thickBot="1" x14ac:dyDescent="0.4">
      <c r="A10" s="1"/>
      <c r="B10" s="6"/>
      <c r="C10" s="7"/>
      <c r="D10" s="7"/>
      <c r="E10" s="32" t="s">
        <v>12</v>
      </c>
      <c r="F10" s="31"/>
      <c r="G10" s="31"/>
      <c r="H10" s="31"/>
      <c r="I10" s="1"/>
      <c r="J10" s="13"/>
      <c r="K10" s="39"/>
      <c r="M10" s="1"/>
      <c r="N10" s="1"/>
      <c r="O10" s="1"/>
      <c r="P10" s="1"/>
    </row>
    <row r="11" spans="1:16" s="5" customFormat="1" ht="15" customHeight="1" thickBot="1" x14ac:dyDescent="0.4">
      <c r="A11" s="1"/>
      <c r="B11" s="54"/>
      <c r="C11" s="55"/>
      <c r="D11" s="55"/>
      <c r="E11" s="55"/>
      <c r="F11" s="9"/>
      <c r="G11" s="9"/>
      <c r="H11" s="9"/>
      <c r="I11" s="13" t="s">
        <v>35</v>
      </c>
      <c r="J11" s="13" t="s">
        <v>24</v>
      </c>
      <c r="K11" s="38"/>
      <c r="M11" s="1"/>
      <c r="N11" s="1"/>
      <c r="O11" s="1"/>
      <c r="P11" s="1"/>
    </row>
    <row r="12" spans="1:16" s="5" customFormat="1" ht="15" customHeight="1" thickBot="1" x14ac:dyDescent="0.4">
      <c r="A12" s="1"/>
      <c r="B12" s="2"/>
      <c r="C12" s="10"/>
      <c r="D12" s="3"/>
      <c r="E12" s="3"/>
      <c r="F12" s="3"/>
      <c r="G12" s="3"/>
      <c r="H12" s="3"/>
      <c r="I12" s="40"/>
      <c r="J12" s="13"/>
      <c r="K12" s="39"/>
      <c r="M12" s="1"/>
      <c r="N12" s="1"/>
      <c r="O12" s="1"/>
      <c r="P12" s="1"/>
    </row>
    <row r="13" spans="1:16" s="5" customFormat="1" ht="15" customHeight="1" thickBot="1" x14ac:dyDescent="0.4">
      <c r="A13" s="1"/>
      <c r="B13" s="6"/>
      <c r="C13" s="11"/>
      <c r="D13" s="12" t="s">
        <v>6</v>
      </c>
      <c r="E13" s="12"/>
      <c r="I13" s="49" t="s">
        <v>44</v>
      </c>
      <c r="J13" s="49" t="s">
        <v>24</v>
      </c>
      <c r="K13" s="38"/>
      <c r="L13" s="29"/>
      <c r="M13" s="1"/>
      <c r="N13" s="1"/>
      <c r="O13" s="1"/>
      <c r="P13" s="1"/>
    </row>
    <row r="14" spans="1:16" s="5" customFormat="1" ht="15" customHeight="1" thickBot="1" x14ac:dyDescent="0.4">
      <c r="A14" s="1"/>
      <c r="B14" s="6"/>
      <c r="C14" s="7" t="s">
        <v>2</v>
      </c>
      <c r="D14" s="12"/>
      <c r="E14" s="12"/>
      <c r="I14" s="49"/>
      <c r="J14" s="49" t="s">
        <v>25</v>
      </c>
      <c r="K14" s="39"/>
      <c r="L14" s="30"/>
      <c r="M14" s="1"/>
      <c r="N14" s="1"/>
      <c r="O14" s="1"/>
      <c r="P14" s="1"/>
    </row>
    <row r="15" spans="1:16" s="5" customFormat="1" ht="15" customHeight="1" thickBot="1" x14ac:dyDescent="0.4">
      <c r="A15" s="1"/>
      <c r="B15" s="6"/>
      <c r="C15" s="7"/>
      <c r="D15" s="14" t="s">
        <v>8</v>
      </c>
      <c r="E15" s="35" t="s">
        <v>32</v>
      </c>
      <c r="F15" s="1"/>
      <c r="G15" s="1"/>
      <c r="I15" s="1"/>
      <c r="J15" s="1"/>
      <c r="K15" s="24"/>
      <c r="M15" s="1"/>
      <c r="N15" s="1"/>
      <c r="O15" s="1"/>
      <c r="P15" s="1"/>
    </row>
    <row r="16" spans="1:16" s="5" customFormat="1" ht="15" customHeight="1" thickBot="1" x14ac:dyDescent="0.4">
      <c r="A16" s="1"/>
      <c r="B16" s="59" t="s">
        <v>3</v>
      </c>
      <c r="C16" s="56"/>
      <c r="D16" s="14" t="s">
        <v>9</v>
      </c>
      <c r="E16" s="36" t="s">
        <v>13</v>
      </c>
      <c r="F16" s="1"/>
      <c r="G16" s="1"/>
      <c r="H16" s="1"/>
      <c r="I16" s="42">
        <v>4</v>
      </c>
      <c r="J16" s="1"/>
      <c r="K16" s="1"/>
      <c r="M16" s="45"/>
      <c r="N16" s="1"/>
      <c r="O16" s="1"/>
      <c r="P16" s="1"/>
    </row>
    <row r="17" spans="1:16" s="5" customFormat="1" ht="15" customHeight="1" thickBot="1" x14ac:dyDescent="0.4">
      <c r="A17" s="1"/>
      <c r="B17" s="59"/>
      <c r="C17" s="57"/>
      <c r="D17" s="14" t="s">
        <v>10</v>
      </c>
      <c r="E17" s="36">
        <v>18</v>
      </c>
      <c r="F17" s="1"/>
      <c r="G17" s="1"/>
      <c r="H17" s="1"/>
      <c r="I17" s="43"/>
      <c r="J17" s="1"/>
      <c r="K17" s="1"/>
      <c r="M17" s="45"/>
      <c r="N17" s="1"/>
      <c r="O17" s="1"/>
      <c r="P17" s="1"/>
    </row>
    <row r="18" spans="1:16" s="5" customFormat="1" ht="15" customHeight="1" thickBot="1" x14ac:dyDescent="0.4">
      <c r="A18" s="1"/>
      <c r="B18" s="59"/>
      <c r="C18" s="57"/>
      <c r="D18" s="14" t="s">
        <v>11</v>
      </c>
      <c r="E18" s="36"/>
      <c r="F18" s="1"/>
      <c r="G18" s="1"/>
      <c r="H18" s="61">
        <v>1</v>
      </c>
      <c r="I18" s="16"/>
      <c r="J18" s="53">
        <v>3</v>
      </c>
      <c r="K18" s="1"/>
      <c r="M18" s="45"/>
      <c r="N18" s="1"/>
      <c r="O18" s="1"/>
      <c r="P18" s="1"/>
    </row>
    <row r="19" spans="1:16" s="5" customFormat="1" ht="15" customHeight="1" thickBot="1" x14ac:dyDescent="0.4">
      <c r="A19" s="1"/>
      <c r="B19" s="59"/>
      <c r="C19" s="57"/>
      <c r="D19" s="15" t="s">
        <v>26</v>
      </c>
      <c r="E19" s="37" t="s">
        <v>2</v>
      </c>
      <c r="F19" s="1"/>
      <c r="G19" s="1"/>
      <c r="H19" s="61"/>
      <c r="I19" s="17"/>
      <c r="J19" s="53"/>
      <c r="K19" s="1"/>
      <c r="M19" s="45"/>
      <c r="N19" s="1"/>
      <c r="O19" s="1"/>
      <c r="P19" s="1"/>
    </row>
    <row r="20" spans="1:16" s="5" customFormat="1" ht="15" customHeight="1" thickBot="1" x14ac:dyDescent="0.4">
      <c r="A20" s="1"/>
      <c r="B20" s="59"/>
      <c r="C20" s="58"/>
      <c r="D20" s="15" t="s">
        <v>31</v>
      </c>
      <c r="E20" s="27"/>
      <c r="F20" s="1"/>
      <c r="G20" s="1"/>
      <c r="H20" s="1"/>
      <c r="I20" s="62">
        <v>2</v>
      </c>
      <c r="J20" s="1"/>
      <c r="K20" s="1"/>
      <c r="M20" s="45"/>
      <c r="N20" s="1"/>
      <c r="O20" s="1"/>
      <c r="P20" s="1"/>
    </row>
    <row r="21" spans="1:16" ht="21" x14ac:dyDescent="0.35">
      <c r="B21" s="25"/>
      <c r="C21" s="26"/>
      <c r="D21" s="26"/>
      <c r="E21" s="26"/>
      <c r="F21" s="26"/>
      <c r="G21" s="26"/>
      <c r="H21" s="1"/>
      <c r="I21" s="63"/>
      <c r="J21" s="1"/>
      <c r="K21" s="47"/>
      <c r="M21" s="46"/>
    </row>
    <row r="22" spans="1:16" x14ac:dyDescent="0.25">
      <c r="B22" s="65" t="s">
        <v>0</v>
      </c>
      <c r="C22" s="65" t="s">
        <v>1</v>
      </c>
      <c r="D22" s="67" t="s">
        <v>42</v>
      </c>
      <c r="E22" s="68"/>
      <c r="F22" s="68"/>
      <c r="G22" s="44"/>
      <c r="H22" s="67" t="s">
        <v>7</v>
      </c>
      <c r="I22" s="68"/>
      <c r="J22" s="68"/>
      <c r="K22" s="69"/>
    </row>
    <row r="23" spans="1:16" x14ac:dyDescent="0.25">
      <c r="B23" s="66"/>
      <c r="C23" s="66"/>
      <c r="D23" s="33" t="s">
        <v>20</v>
      </c>
      <c r="E23" s="33" t="s">
        <v>21</v>
      </c>
      <c r="F23" s="33" t="s">
        <v>4</v>
      </c>
      <c r="G23" s="34" t="s">
        <v>5</v>
      </c>
      <c r="H23" s="33">
        <v>1</v>
      </c>
      <c r="I23" s="33">
        <v>2</v>
      </c>
      <c r="J23" s="33">
        <v>3</v>
      </c>
      <c r="K23" s="33">
        <v>4</v>
      </c>
    </row>
    <row r="24" spans="1:16" ht="20.100000000000001" customHeight="1" x14ac:dyDescent="0.25">
      <c r="B24" s="19">
        <v>1</v>
      </c>
      <c r="C24" s="28"/>
      <c r="D24" s="28"/>
      <c r="E24" s="28"/>
      <c r="F24" s="28"/>
      <c r="G24" s="19" t="str">
        <f t="shared" ref="G24:G87" si="0">$E$19</f>
        <v>Longitud</v>
      </c>
      <c r="H24" s="22"/>
      <c r="I24" s="22"/>
      <c r="J24" s="22"/>
      <c r="K24" s="22"/>
      <c r="L24" s="18">
        <f t="shared" ref="L24:L87" si="1">((((D24+40)*F24*(IF(I24&gt;0.5,1,0)+IF(K24&gt;0.5,1,0))))+((E24+40)*F24*(IF(H24&gt;0.5,1,0)+IF(J24&gt;0.5,1,0))))/1000</f>
        <v>0</v>
      </c>
    </row>
    <row r="25" spans="1:16" ht="20.100000000000001" customHeight="1" x14ac:dyDescent="0.25">
      <c r="B25" s="19">
        <v>2</v>
      </c>
      <c r="C25" s="28"/>
      <c r="D25" s="28"/>
      <c r="E25" s="28"/>
      <c r="F25" s="28"/>
      <c r="G25" s="19" t="str">
        <f t="shared" si="0"/>
        <v>Longitud</v>
      </c>
      <c r="H25" s="22"/>
      <c r="I25" s="22"/>
      <c r="J25" s="22"/>
      <c r="K25" s="22"/>
      <c r="L25" s="18">
        <f t="shared" si="1"/>
        <v>0</v>
      </c>
    </row>
    <row r="26" spans="1:16" ht="20.100000000000001" customHeight="1" x14ac:dyDescent="0.25">
      <c r="B26" s="19">
        <v>3</v>
      </c>
      <c r="C26" s="28"/>
      <c r="D26" s="28"/>
      <c r="E26" s="28"/>
      <c r="F26" s="28"/>
      <c r="G26" s="19" t="str">
        <f t="shared" si="0"/>
        <v>Longitud</v>
      </c>
      <c r="H26" s="22"/>
      <c r="I26" s="22"/>
      <c r="J26" s="22"/>
      <c r="K26" s="22"/>
      <c r="L26" s="18">
        <f t="shared" si="1"/>
        <v>0</v>
      </c>
    </row>
    <row r="27" spans="1:16" ht="20.100000000000001" customHeight="1" x14ac:dyDescent="0.25">
      <c r="B27" s="19">
        <v>4</v>
      </c>
      <c r="C27" s="28"/>
      <c r="D27" s="28"/>
      <c r="E27" s="28"/>
      <c r="F27" s="28"/>
      <c r="G27" s="19" t="str">
        <f t="shared" si="0"/>
        <v>Longitud</v>
      </c>
      <c r="H27" s="22"/>
      <c r="I27" s="22"/>
      <c r="J27" s="22"/>
      <c r="K27" s="22"/>
      <c r="L27" s="18">
        <f t="shared" si="1"/>
        <v>0</v>
      </c>
    </row>
    <row r="28" spans="1:16" ht="20.100000000000001" customHeight="1" x14ac:dyDescent="0.25">
      <c r="B28" s="19">
        <v>5</v>
      </c>
      <c r="C28" s="28"/>
      <c r="D28" s="28"/>
      <c r="E28" s="28"/>
      <c r="F28" s="28"/>
      <c r="G28" s="19" t="str">
        <f t="shared" si="0"/>
        <v>Longitud</v>
      </c>
      <c r="H28" s="22"/>
      <c r="I28" s="22"/>
      <c r="J28" s="22"/>
      <c r="K28" s="22"/>
      <c r="L28" s="18">
        <f t="shared" si="1"/>
        <v>0</v>
      </c>
    </row>
    <row r="29" spans="1:16" ht="20.100000000000001" customHeight="1" x14ac:dyDescent="0.25">
      <c r="B29" s="19">
        <v>6</v>
      </c>
      <c r="C29" s="28"/>
      <c r="D29" s="28"/>
      <c r="E29" s="28"/>
      <c r="F29" s="28"/>
      <c r="G29" s="19" t="str">
        <f t="shared" si="0"/>
        <v>Longitud</v>
      </c>
      <c r="H29" s="22"/>
      <c r="I29" s="22"/>
      <c r="J29" s="22"/>
      <c r="K29" s="22"/>
      <c r="L29" s="18">
        <f t="shared" si="1"/>
        <v>0</v>
      </c>
      <c r="N29" s="41" t="e">
        <f>#REF!-(#REF!*5)-(#REF!*15)</f>
        <v>#REF!</v>
      </c>
    </row>
    <row r="30" spans="1:16" ht="20.100000000000001" customHeight="1" x14ac:dyDescent="0.25">
      <c r="B30" s="19">
        <v>7</v>
      </c>
      <c r="C30" s="28"/>
      <c r="D30" s="28"/>
      <c r="E30" s="28"/>
      <c r="F30" s="28"/>
      <c r="G30" s="19" t="str">
        <f t="shared" si="0"/>
        <v>Longitud</v>
      </c>
      <c r="H30" s="22"/>
      <c r="I30" s="22"/>
      <c r="J30" s="22"/>
      <c r="K30" s="22"/>
      <c r="L30" s="18">
        <f t="shared" si="1"/>
        <v>0</v>
      </c>
      <c r="N30" s="41">
        <f>SUM(L24:L173)</f>
        <v>0</v>
      </c>
    </row>
    <row r="31" spans="1:16" ht="20.100000000000001" customHeight="1" x14ac:dyDescent="0.25">
      <c r="B31" s="19">
        <v>8</v>
      </c>
      <c r="C31" s="28"/>
      <c r="D31" s="28"/>
      <c r="E31" s="28"/>
      <c r="F31" s="28"/>
      <c r="G31" s="19" t="str">
        <f t="shared" si="0"/>
        <v>Longitud</v>
      </c>
      <c r="H31" s="22"/>
      <c r="I31" s="22"/>
      <c r="J31" s="22"/>
      <c r="K31" s="22"/>
      <c r="L31" s="18">
        <f t="shared" si="1"/>
        <v>0</v>
      </c>
    </row>
    <row r="32" spans="1:16" ht="20.100000000000001" customHeight="1" x14ac:dyDescent="0.25">
      <c r="B32" s="19">
        <v>9</v>
      </c>
      <c r="C32" s="28"/>
      <c r="D32" s="28"/>
      <c r="E32" s="28"/>
      <c r="F32" s="28"/>
      <c r="G32" s="19" t="str">
        <f t="shared" si="0"/>
        <v>Longitud</v>
      </c>
      <c r="H32" s="22"/>
      <c r="I32" s="22"/>
      <c r="J32" s="22"/>
      <c r="K32" s="22"/>
      <c r="L32" s="18">
        <f t="shared" si="1"/>
        <v>0</v>
      </c>
      <c r="N32" s="64"/>
      <c r="O32" s="64"/>
    </row>
    <row r="33" spans="2:12" ht="20.100000000000001" customHeight="1" x14ac:dyDescent="0.25">
      <c r="B33" s="19">
        <v>10</v>
      </c>
      <c r="C33" s="28"/>
      <c r="D33" s="28"/>
      <c r="E33" s="28"/>
      <c r="F33" s="28"/>
      <c r="G33" s="19" t="str">
        <f t="shared" si="0"/>
        <v>Longitud</v>
      </c>
      <c r="H33" s="22"/>
      <c r="I33" s="22"/>
      <c r="J33" s="22"/>
      <c r="K33" s="22"/>
      <c r="L33" s="18">
        <f t="shared" si="1"/>
        <v>0</v>
      </c>
    </row>
    <row r="34" spans="2:12" ht="20.100000000000001" customHeight="1" x14ac:dyDescent="0.25">
      <c r="B34" s="19">
        <v>11</v>
      </c>
      <c r="C34" s="28"/>
      <c r="D34" s="28"/>
      <c r="E34" s="28"/>
      <c r="F34" s="28"/>
      <c r="G34" s="19" t="str">
        <f t="shared" si="0"/>
        <v>Longitud</v>
      </c>
      <c r="H34" s="22"/>
      <c r="I34" s="22"/>
      <c r="J34" s="22"/>
      <c r="K34" s="22"/>
      <c r="L34" s="18">
        <f t="shared" si="1"/>
        <v>0</v>
      </c>
    </row>
    <row r="35" spans="2:12" ht="20.100000000000001" customHeight="1" x14ac:dyDescent="0.25">
      <c r="B35" s="19">
        <v>12</v>
      </c>
      <c r="C35" s="28"/>
      <c r="D35" s="28"/>
      <c r="E35" s="28"/>
      <c r="F35" s="28"/>
      <c r="G35" s="19" t="str">
        <f t="shared" si="0"/>
        <v>Longitud</v>
      </c>
      <c r="H35" s="22"/>
      <c r="I35" s="22"/>
      <c r="J35" s="22"/>
      <c r="K35" s="22"/>
      <c r="L35" s="18">
        <f t="shared" si="1"/>
        <v>0</v>
      </c>
    </row>
    <row r="36" spans="2:12" ht="20.100000000000001" customHeight="1" x14ac:dyDescent="0.25">
      <c r="B36" s="20">
        <v>13</v>
      </c>
      <c r="C36" s="28"/>
      <c r="D36" s="28"/>
      <c r="E36" s="28"/>
      <c r="F36" s="28"/>
      <c r="G36" s="19" t="str">
        <f t="shared" si="0"/>
        <v>Longitud</v>
      </c>
      <c r="H36" s="22"/>
      <c r="I36" s="22"/>
      <c r="J36" s="22"/>
      <c r="K36" s="22"/>
      <c r="L36" s="18">
        <f t="shared" si="1"/>
        <v>0</v>
      </c>
    </row>
    <row r="37" spans="2:12" ht="20.100000000000001" customHeight="1" x14ac:dyDescent="0.25">
      <c r="B37" s="20">
        <v>14</v>
      </c>
      <c r="C37" s="28"/>
      <c r="D37" s="28"/>
      <c r="E37" s="28"/>
      <c r="F37" s="28"/>
      <c r="G37" s="19" t="str">
        <f t="shared" si="0"/>
        <v>Longitud</v>
      </c>
      <c r="H37" s="22"/>
      <c r="I37" s="22"/>
      <c r="J37" s="22"/>
      <c r="K37" s="22"/>
      <c r="L37" s="18">
        <f t="shared" si="1"/>
        <v>0</v>
      </c>
    </row>
    <row r="38" spans="2:12" ht="20.100000000000001" customHeight="1" x14ac:dyDescent="0.25">
      <c r="B38" s="20">
        <v>15</v>
      </c>
      <c r="C38" s="28"/>
      <c r="D38" s="28"/>
      <c r="E38" s="28"/>
      <c r="F38" s="28"/>
      <c r="G38" s="19" t="str">
        <f t="shared" si="0"/>
        <v>Longitud</v>
      </c>
      <c r="H38" s="22"/>
      <c r="I38" s="22"/>
      <c r="J38" s="22"/>
      <c r="K38" s="22"/>
      <c r="L38" s="18">
        <f t="shared" si="1"/>
        <v>0</v>
      </c>
    </row>
    <row r="39" spans="2:12" ht="20.100000000000001" customHeight="1" x14ac:dyDescent="0.25">
      <c r="B39" s="20">
        <v>16</v>
      </c>
      <c r="C39" s="28"/>
      <c r="D39" s="28"/>
      <c r="E39" s="28"/>
      <c r="F39" s="28"/>
      <c r="G39" s="19" t="str">
        <f t="shared" si="0"/>
        <v>Longitud</v>
      </c>
      <c r="H39" s="22"/>
      <c r="I39" s="22"/>
      <c r="J39" s="22"/>
      <c r="K39" s="22"/>
      <c r="L39" s="18">
        <f t="shared" si="1"/>
        <v>0</v>
      </c>
    </row>
    <row r="40" spans="2:12" ht="20.100000000000001" customHeight="1" x14ac:dyDescent="0.25">
      <c r="B40" s="20">
        <v>17</v>
      </c>
      <c r="C40" s="28"/>
      <c r="D40" s="28"/>
      <c r="E40" s="28"/>
      <c r="F40" s="28"/>
      <c r="G40" s="19" t="str">
        <f t="shared" si="0"/>
        <v>Longitud</v>
      </c>
      <c r="H40" s="22"/>
      <c r="I40" s="22"/>
      <c r="J40" s="22"/>
      <c r="K40" s="22"/>
      <c r="L40" s="18">
        <f t="shared" si="1"/>
        <v>0</v>
      </c>
    </row>
    <row r="41" spans="2:12" ht="20.100000000000001" customHeight="1" x14ac:dyDescent="0.25">
      <c r="B41" s="20">
        <v>18</v>
      </c>
      <c r="C41" s="28"/>
      <c r="D41" s="28"/>
      <c r="E41" s="28"/>
      <c r="F41" s="28"/>
      <c r="G41" s="19" t="str">
        <f t="shared" si="0"/>
        <v>Longitud</v>
      </c>
      <c r="H41" s="22"/>
      <c r="I41" s="22"/>
      <c r="J41" s="22"/>
      <c r="K41" s="22"/>
      <c r="L41" s="18">
        <f t="shared" si="1"/>
        <v>0</v>
      </c>
    </row>
    <row r="42" spans="2:12" ht="20.100000000000001" customHeight="1" x14ac:dyDescent="0.25">
      <c r="B42" s="20">
        <v>19</v>
      </c>
      <c r="C42" s="28"/>
      <c r="D42" s="28"/>
      <c r="E42" s="28"/>
      <c r="F42" s="28"/>
      <c r="G42" s="19" t="str">
        <f t="shared" si="0"/>
        <v>Longitud</v>
      </c>
      <c r="H42" s="22"/>
      <c r="I42" s="22"/>
      <c r="J42" s="22"/>
      <c r="K42" s="22"/>
      <c r="L42" s="18">
        <f t="shared" si="1"/>
        <v>0</v>
      </c>
    </row>
    <row r="43" spans="2:12" ht="20.100000000000001" customHeight="1" x14ac:dyDescent="0.25">
      <c r="B43" s="20">
        <v>20</v>
      </c>
      <c r="C43" s="28"/>
      <c r="D43" s="28"/>
      <c r="E43" s="28"/>
      <c r="F43" s="28"/>
      <c r="G43" s="19" t="str">
        <f t="shared" si="0"/>
        <v>Longitud</v>
      </c>
      <c r="H43" s="22"/>
      <c r="I43" s="22"/>
      <c r="J43" s="22"/>
      <c r="K43" s="22"/>
      <c r="L43" s="18">
        <f t="shared" si="1"/>
        <v>0</v>
      </c>
    </row>
    <row r="44" spans="2:12" ht="20.100000000000001" customHeight="1" x14ac:dyDescent="0.25">
      <c r="B44" s="20">
        <v>21</v>
      </c>
      <c r="C44" s="28"/>
      <c r="D44" s="28"/>
      <c r="E44" s="28"/>
      <c r="F44" s="28"/>
      <c r="G44" s="19" t="str">
        <f t="shared" si="0"/>
        <v>Longitud</v>
      </c>
      <c r="H44" s="22"/>
      <c r="I44" s="22"/>
      <c r="J44" s="22"/>
      <c r="K44" s="22"/>
      <c r="L44" s="18">
        <f t="shared" si="1"/>
        <v>0</v>
      </c>
    </row>
    <row r="45" spans="2:12" ht="20.100000000000001" customHeight="1" x14ac:dyDescent="0.25">
      <c r="B45" s="20">
        <v>22</v>
      </c>
      <c r="C45" s="28"/>
      <c r="D45" s="28"/>
      <c r="E45" s="28"/>
      <c r="F45" s="28"/>
      <c r="G45" s="19" t="str">
        <f t="shared" si="0"/>
        <v>Longitud</v>
      </c>
      <c r="H45" s="22"/>
      <c r="I45" s="22"/>
      <c r="J45" s="22"/>
      <c r="K45" s="22"/>
      <c r="L45" s="18">
        <f t="shared" si="1"/>
        <v>0</v>
      </c>
    </row>
    <row r="46" spans="2:12" ht="20.100000000000001" customHeight="1" x14ac:dyDescent="0.25">
      <c r="B46" s="20">
        <v>23</v>
      </c>
      <c r="C46" s="28"/>
      <c r="D46" s="28"/>
      <c r="E46" s="28"/>
      <c r="F46" s="28"/>
      <c r="G46" s="19" t="str">
        <f t="shared" si="0"/>
        <v>Longitud</v>
      </c>
      <c r="H46" s="22"/>
      <c r="I46" s="22"/>
      <c r="J46" s="22"/>
      <c r="K46" s="22"/>
      <c r="L46" s="18">
        <f t="shared" si="1"/>
        <v>0</v>
      </c>
    </row>
    <row r="47" spans="2:12" ht="20.100000000000001" customHeight="1" x14ac:dyDescent="0.25">
      <c r="B47" s="20">
        <v>24</v>
      </c>
      <c r="C47" s="28"/>
      <c r="D47" s="28"/>
      <c r="E47" s="28"/>
      <c r="F47" s="28"/>
      <c r="G47" s="19" t="str">
        <f t="shared" si="0"/>
        <v>Longitud</v>
      </c>
      <c r="H47" s="22"/>
      <c r="I47" s="22"/>
      <c r="J47" s="22"/>
      <c r="K47" s="22"/>
      <c r="L47" s="18">
        <f t="shared" si="1"/>
        <v>0</v>
      </c>
    </row>
    <row r="48" spans="2:12" ht="20.100000000000001" customHeight="1" x14ac:dyDescent="0.25">
      <c r="B48" s="20">
        <v>25</v>
      </c>
      <c r="C48" s="23"/>
      <c r="D48" s="23"/>
      <c r="E48" s="23"/>
      <c r="F48" s="23"/>
      <c r="G48" s="19" t="str">
        <f t="shared" si="0"/>
        <v>Longitud</v>
      </c>
      <c r="H48" s="22"/>
      <c r="I48" s="22"/>
      <c r="J48" s="22"/>
      <c r="K48" s="22"/>
      <c r="L48" s="18">
        <f t="shared" si="1"/>
        <v>0</v>
      </c>
    </row>
    <row r="49" spans="2:12" ht="20.100000000000001" customHeight="1" x14ac:dyDescent="0.25">
      <c r="B49" s="20">
        <v>26</v>
      </c>
      <c r="C49" s="23"/>
      <c r="D49" s="23"/>
      <c r="E49" s="23"/>
      <c r="F49" s="23"/>
      <c r="G49" s="19" t="str">
        <f t="shared" si="0"/>
        <v>Longitud</v>
      </c>
      <c r="H49" s="22"/>
      <c r="I49" s="22"/>
      <c r="J49" s="22"/>
      <c r="K49" s="22"/>
      <c r="L49" s="18">
        <f t="shared" si="1"/>
        <v>0</v>
      </c>
    </row>
    <row r="50" spans="2:12" ht="20.100000000000001" customHeight="1" x14ac:dyDescent="0.25">
      <c r="B50" s="20">
        <v>27</v>
      </c>
      <c r="C50" s="23"/>
      <c r="D50" s="23"/>
      <c r="E50" s="23"/>
      <c r="F50" s="23"/>
      <c r="G50" s="19" t="str">
        <f t="shared" si="0"/>
        <v>Longitud</v>
      </c>
      <c r="H50" s="22"/>
      <c r="I50" s="22"/>
      <c r="J50" s="22"/>
      <c r="K50" s="22"/>
      <c r="L50" s="18">
        <f t="shared" si="1"/>
        <v>0</v>
      </c>
    </row>
    <row r="51" spans="2:12" ht="20.100000000000001" customHeight="1" x14ac:dyDescent="0.25">
      <c r="B51" s="20">
        <v>28</v>
      </c>
      <c r="C51" s="23"/>
      <c r="D51" s="23"/>
      <c r="E51" s="23"/>
      <c r="F51" s="23"/>
      <c r="G51" s="19" t="str">
        <f t="shared" si="0"/>
        <v>Longitud</v>
      </c>
      <c r="H51" s="22"/>
      <c r="I51" s="22"/>
      <c r="J51" s="22"/>
      <c r="K51" s="22"/>
      <c r="L51" s="18">
        <f t="shared" si="1"/>
        <v>0</v>
      </c>
    </row>
    <row r="52" spans="2:12" ht="20.100000000000001" customHeight="1" x14ac:dyDescent="0.25">
      <c r="B52" s="20">
        <v>29</v>
      </c>
      <c r="C52" s="23"/>
      <c r="D52" s="23"/>
      <c r="E52" s="23"/>
      <c r="F52" s="23"/>
      <c r="G52" s="19" t="str">
        <f t="shared" si="0"/>
        <v>Longitud</v>
      </c>
      <c r="H52" s="22"/>
      <c r="I52" s="22"/>
      <c r="J52" s="22"/>
      <c r="K52" s="22"/>
      <c r="L52" s="18">
        <f t="shared" si="1"/>
        <v>0</v>
      </c>
    </row>
    <row r="53" spans="2:12" ht="20.100000000000001" customHeight="1" x14ac:dyDescent="0.25">
      <c r="B53" s="20">
        <v>30</v>
      </c>
      <c r="C53" s="23"/>
      <c r="D53" s="23"/>
      <c r="E53" s="23"/>
      <c r="F53" s="23"/>
      <c r="G53" s="19" t="str">
        <f t="shared" si="0"/>
        <v>Longitud</v>
      </c>
      <c r="H53" s="22"/>
      <c r="I53" s="22"/>
      <c r="J53" s="22"/>
      <c r="K53" s="22"/>
      <c r="L53" s="18">
        <f t="shared" si="1"/>
        <v>0</v>
      </c>
    </row>
    <row r="54" spans="2:12" ht="20.100000000000001" customHeight="1" x14ac:dyDescent="0.25">
      <c r="B54" s="20">
        <v>31</v>
      </c>
      <c r="C54" s="23"/>
      <c r="D54" s="23"/>
      <c r="E54" s="23"/>
      <c r="F54" s="23"/>
      <c r="G54" s="19" t="str">
        <f t="shared" si="0"/>
        <v>Longitud</v>
      </c>
      <c r="H54" s="22"/>
      <c r="I54" s="22"/>
      <c r="J54" s="22"/>
      <c r="K54" s="22"/>
      <c r="L54" s="18">
        <f t="shared" si="1"/>
        <v>0</v>
      </c>
    </row>
    <row r="55" spans="2:12" ht="20.100000000000001" customHeight="1" x14ac:dyDescent="0.25">
      <c r="B55" s="20">
        <v>32</v>
      </c>
      <c r="C55" s="23"/>
      <c r="D55" s="23"/>
      <c r="E55" s="23"/>
      <c r="F55" s="23"/>
      <c r="G55" s="19" t="str">
        <f t="shared" si="0"/>
        <v>Longitud</v>
      </c>
      <c r="H55" s="22"/>
      <c r="I55" s="22"/>
      <c r="J55" s="22"/>
      <c r="K55" s="22"/>
      <c r="L55" s="18">
        <f t="shared" si="1"/>
        <v>0</v>
      </c>
    </row>
    <row r="56" spans="2:12" ht="20.100000000000001" customHeight="1" x14ac:dyDescent="0.25">
      <c r="B56" s="20">
        <v>33</v>
      </c>
      <c r="C56" s="23"/>
      <c r="D56" s="23"/>
      <c r="E56" s="23"/>
      <c r="F56" s="23"/>
      <c r="G56" s="19" t="str">
        <f t="shared" si="0"/>
        <v>Longitud</v>
      </c>
      <c r="H56" s="22"/>
      <c r="I56" s="22"/>
      <c r="J56" s="22"/>
      <c r="K56" s="22"/>
      <c r="L56" s="18">
        <f t="shared" si="1"/>
        <v>0</v>
      </c>
    </row>
    <row r="57" spans="2:12" ht="20.100000000000001" customHeight="1" x14ac:dyDescent="0.25">
      <c r="B57" s="20">
        <v>34</v>
      </c>
      <c r="C57" s="23"/>
      <c r="D57" s="23"/>
      <c r="E57" s="23"/>
      <c r="F57" s="23"/>
      <c r="G57" s="19" t="str">
        <f t="shared" si="0"/>
        <v>Longitud</v>
      </c>
      <c r="H57" s="22"/>
      <c r="I57" s="22"/>
      <c r="J57" s="22"/>
      <c r="K57" s="22"/>
      <c r="L57" s="18">
        <f t="shared" si="1"/>
        <v>0</v>
      </c>
    </row>
    <row r="58" spans="2:12" ht="20.100000000000001" customHeight="1" x14ac:dyDescent="0.25">
      <c r="B58" s="20">
        <v>35</v>
      </c>
      <c r="C58" s="23"/>
      <c r="D58" s="23"/>
      <c r="E58" s="23"/>
      <c r="F58" s="23"/>
      <c r="G58" s="19" t="str">
        <f t="shared" si="0"/>
        <v>Longitud</v>
      </c>
      <c r="H58" s="22"/>
      <c r="I58" s="22"/>
      <c r="J58" s="22"/>
      <c r="K58" s="22"/>
      <c r="L58" s="18">
        <f t="shared" si="1"/>
        <v>0</v>
      </c>
    </row>
    <row r="59" spans="2:12" ht="20.100000000000001" customHeight="1" x14ac:dyDescent="0.25">
      <c r="B59" s="20">
        <v>36</v>
      </c>
      <c r="C59" s="23"/>
      <c r="D59" s="23"/>
      <c r="E59" s="23"/>
      <c r="F59" s="23"/>
      <c r="G59" s="19" t="str">
        <f t="shared" si="0"/>
        <v>Longitud</v>
      </c>
      <c r="H59" s="22"/>
      <c r="I59" s="22"/>
      <c r="J59" s="22"/>
      <c r="K59" s="22"/>
      <c r="L59" s="18">
        <f t="shared" si="1"/>
        <v>0</v>
      </c>
    </row>
    <row r="60" spans="2:12" ht="20.100000000000001" customHeight="1" x14ac:dyDescent="0.25">
      <c r="B60" s="20">
        <v>37</v>
      </c>
      <c r="C60" s="23"/>
      <c r="D60" s="23"/>
      <c r="E60" s="23"/>
      <c r="F60" s="23"/>
      <c r="G60" s="19" t="str">
        <f t="shared" si="0"/>
        <v>Longitud</v>
      </c>
      <c r="H60" s="22"/>
      <c r="I60" s="22"/>
      <c r="J60" s="22"/>
      <c r="K60" s="22"/>
      <c r="L60" s="18">
        <f t="shared" si="1"/>
        <v>0</v>
      </c>
    </row>
    <row r="61" spans="2:12" ht="20.100000000000001" customHeight="1" x14ac:dyDescent="0.25">
      <c r="B61" s="20">
        <v>38</v>
      </c>
      <c r="C61" s="23"/>
      <c r="D61" s="23"/>
      <c r="E61" s="23"/>
      <c r="F61" s="23"/>
      <c r="G61" s="19" t="str">
        <f t="shared" si="0"/>
        <v>Longitud</v>
      </c>
      <c r="H61" s="22"/>
      <c r="I61" s="22"/>
      <c r="J61" s="22"/>
      <c r="K61" s="22"/>
      <c r="L61" s="18">
        <f t="shared" si="1"/>
        <v>0</v>
      </c>
    </row>
    <row r="62" spans="2:12" ht="20.100000000000001" customHeight="1" x14ac:dyDescent="0.25">
      <c r="B62" s="20">
        <v>39</v>
      </c>
      <c r="C62" s="23"/>
      <c r="D62" s="23"/>
      <c r="E62" s="23"/>
      <c r="F62" s="23"/>
      <c r="G62" s="19" t="str">
        <f t="shared" si="0"/>
        <v>Longitud</v>
      </c>
      <c r="H62" s="22"/>
      <c r="I62" s="22"/>
      <c r="J62" s="22"/>
      <c r="K62" s="22"/>
      <c r="L62" s="18">
        <f t="shared" si="1"/>
        <v>0</v>
      </c>
    </row>
    <row r="63" spans="2:12" ht="20.100000000000001" customHeight="1" x14ac:dyDescent="0.25">
      <c r="B63" s="20">
        <v>40</v>
      </c>
      <c r="C63" s="23"/>
      <c r="D63" s="23"/>
      <c r="E63" s="23"/>
      <c r="F63" s="23"/>
      <c r="G63" s="19" t="str">
        <f t="shared" si="0"/>
        <v>Longitud</v>
      </c>
      <c r="H63" s="22"/>
      <c r="I63" s="22"/>
      <c r="J63" s="22"/>
      <c r="K63" s="22"/>
      <c r="L63" s="18">
        <f t="shared" si="1"/>
        <v>0</v>
      </c>
    </row>
    <row r="64" spans="2:12" ht="20.100000000000001" customHeight="1" x14ac:dyDescent="0.25">
      <c r="B64" s="20">
        <v>41</v>
      </c>
      <c r="C64" s="23"/>
      <c r="D64" s="23"/>
      <c r="E64" s="23"/>
      <c r="F64" s="23"/>
      <c r="G64" s="19" t="str">
        <f t="shared" si="0"/>
        <v>Longitud</v>
      </c>
      <c r="H64" s="22"/>
      <c r="I64" s="22"/>
      <c r="J64" s="22"/>
      <c r="K64" s="22"/>
      <c r="L64" s="18">
        <f t="shared" si="1"/>
        <v>0</v>
      </c>
    </row>
    <row r="65" spans="2:12" ht="20.100000000000001" customHeight="1" x14ac:dyDescent="0.25">
      <c r="B65" s="20">
        <v>42</v>
      </c>
      <c r="C65" s="23"/>
      <c r="D65" s="23"/>
      <c r="E65" s="23"/>
      <c r="F65" s="23"/>
      <c r="G65" s="19" t="str">
        <f t="shared" si="0"/>
        <v>Longitud</v>
      </c>
      <c r="H65" s="22"/>
      <c r="I65" s="22"/>
      <c r="J65" s="22"/>
      <c r="K65" s="22"/>
      <c r="L65" s="18">
        <f t="shared" si="1"/>
        <v>0</v>
      </c>
    </row>
    <row r="66" spans="2:12" ht="20.100000000000001" customHeight="1" x14ac:dyDescent="0.25">
      <c r="B66" s="20">
        <v>43</v>
      </c>
      <c r="C66" s="23"/>
      <c r="D66" s="23"/>
      <c r="E66" s="23"/>
      <c r="F66" s="23"/>
      <c r="G66" s="19" t="str">
        <f t="shared" si="0"/>
        <v>Longitud</v>
      </c>
      <c r="H66" s="22"/>
      <c r="I66" s="22"/>
      <c r="J66" s="22"/>
      <c r="K66" s="22"/>
      <c r="L66" s="18">
        <f t="shared" si="1"/>
        <v>0</v>
      </c>
    </row>
    <row r="67" spans="2:12" ht="20.100000000000001" customHeight="1" x14ac:dyDescent="0.25">
      <c r="B67" s="20">
        <v>44</v>
      </c>
      <c r="C67" s="23"/>
      <c r="D67" s="23"/>
      <c r="E67" s="23"/>
      <c r="F67" s="23"/>
      <c r="G67" s="19" t="str">
        <f t="shared" si="0"/>
        <v>Longitud</v>
      </c>
      <c r="H67" s="22"/>
      <c r="I67" s="22"/>
      <c r="J67" s="22"/>
      <c r="K67" s="22"/>
      <c r="L67" s="18">
        <f t="shared" si="1"/>
        <v>0</v>
      </c>
    </row>
    <row r="68" spans="2:12" ht="20.100000000000001" customHeight="1" x14ac:dyDescent="0.25">
      <c r="B68" s="20">
        <v>45</v>
      </c>
      <c r="C68" s="23"/>
      <c r="D68" s="23"/>
      <c r="E68" s="23"/>
      <c r="F68" s="23"/>
      <c r="G68" s="19" t="str">
        <f t="shared" si="0"/>
        <v>Longitud</v>
      </c>
      <c r="H68" s="22"/>
      <c r="I68" s="22"/>
      <c r="J68" s="22"/>
      <c r="K68" s="22"/>
      <c r="L68" s="18">
        <f t="shared" si="1"/>
        <v>0</v>
      </c>
    </row>
    <row r="69" spans="2:12" ht="20.100000000000001" customHeight="1" x14ac:dyDescent="0.25">
      <c r="B69" s="20">
        <v>46</v>
      </c>
      <c r="C69" s="23"/>
      <c r="D69" s="23"/>
      <c r="E69" s="23"/>
      <c r="F69" s="23"/>
      <c r="G69" s="19" t="str">
        <f t="shared" si="0"/>
        <v>Longitud</v>
      </c>
      <c r="H69" s="22"/>
      <c r="I69" s="22"/>
      <c r="J69" s="22"/>
      <c r="K69" s="22"/>
      <c r="L69" s="18">
        <f t="shared" si="1"/>
        <v>0</v>
      </c>
    </row>
    <row r="70" spans="2:12" ht="20.100000000000001" customHeight="1" x14ac:dyDescent="0.25">
      <c r="B70" s="20">
        <v>47</v>
      </c>
      <c r="C70" s="23"/>
      <c r="D70" s="23"/>
      <c r="E70" s="23"/>
      <c r="F70" s="23"/>
      <c r="G70" s="19" t="str">
        <f t="shared" si="0"/>
        <v>Longitud</v>
      </c>
      <c r="H70" s="22"/>
      <c r="I70" s="22"/>
      <c r="J70" s="22"/>
      <c r="K70" s="22"/>
      <c r="L70" s="18">
        <f t="shared" si="1"/>
        <v>0</v>
      </c>
    </row>
    <row r="71" spans="2:12" ht="20.100000000000001" customHeight="1" x14ac:dyDescent="0.25">
      <c r="B71" s="20">
        <v>48</v>
      </c>
      <c r="C71" s="23"/>
      <c r="D71" s="23"/>
      <c r="E71" s="23"/>
      <c r="F71" s="23"/>
      <c r="G71" s="19" t="str">
        <f t="shared" si="0"/>
        <v>Longitud</v>
      </c>
      <c r="H71" s="22"/>
      <c r="I71" s="22"/>
      <c r="J71" s="22"/>
      <c r="K71" s="22"/>
      <c r="L71" s="18">
        <f t="shared" si="1"/>
        <v>0</v>
      </c>
    </row>
    <row r="72" spans="2:12" ht="20.100000000000001" customHeight="1" x14ac:dyDescent="0.25">
      <c r="B72" s="20">
        <v>49</v>
      </c>
      <c r="C72" s="23"/>
      <c r="D72" s="23"/>
      <c r="E72" s="23"/>
      <c r="F72" s="23"/>
      <c r="G72" s="19" t="str">
        <f t="shared" si="0"/>
        <v>Longitud</v>
      </c>
      <c r="H72" s="22"/>
      <c r="I72" s="22"/>
      <c r="J72" s="22"/>
      <c r="K72" s="22"/>
      <c r="L72" s="18">
        <f t="shared" si="1"/>
        <v>0</v>
      </c>
    </row>
    <row r="73" spans="2:12" ht="20.100000000000001" customHeight="1" x14ac:dyDescent="0.25">
      <c r="B73" s="20">
        <v>50</v>
      </c>
      <c r="C73" s="23"/>
      <c r="D73" s="23"/>
      <c r="E73" s="23"/>
      <c r="F73" s="23"/>
      <c r="G73" s="19" t="str">
        <f t="shared" si="0"/>
        <v>Longitud</v>
      </c>
      <c r="H73" s="22"/>
      <c r="I73" s="22"/>
      <c r="J73" s="22"/>
      <c r="K73" s="22"/>
      <c r="L73" s="18">
        <f t="shared" si="1"/>
        <v>0</v>
      </c>
    </row>
    <row r="74" spans="2:12" ht="20.100000000000001" customHeight="1" x14ac:dyDescent="0.25">
      <c r="B74" s="20">
        <v>51</v>
      </c>
      <c r="C74" s="23"/>
      <c r="D74" s="23"/>
      <c r="E74" s="23"/>
      <c r="F74" s="23"/>
      <c r="G74" s="19" t="str">
        <f t="shared" si="0"/>
        <v>Longitud</v>
      </c>
      <c r="H74" s="22"/>
      <c r="I74" s="22"/>
      <c r="J74" s="22"/>
      <c r="K74" s="22"/>
      <c r="L74" s="18">
        <f t="shared" si="1"/>
        <v>0</v>
      </c>
    </row>
    <row r="75" spans="2:12" ht="20.100000000000001" customHeight="1" x14ac:dyDescent="0.25">
      <c r="B75" s="20">
        <v>52</v>
      </c>
      <c r="C75" s="23"/>
      <c r="D75" s="23"/>
      <c r="E75" s="23"/>
      <c r="F75" s="23"/>
      <c r="G75" s="19" t="str">
        <f t="shared" si="0"/>
        <v>Longitud</v>
      </c>
      <c r="H75" s="22"/>
      <c r="I75" s="22"/>
      <c r="J75" s="22"/>
      <c r="K75" s="22"/>
      <c r="L75" s="18">
        <f t="shared" si="1"/>
        <v>0</v>
      </c>
    </row>
    <row r="76" spans="2:12" ht="20.100000000000001" customHeight="1" x14ac:dyDescent="0.25">
      <c r="B76" s="20">
        <v>53</v>
      </c>
      <c r="C76" s="23"/>
      <c r="D76" s="23"/>
      <c r="E76" s="23"/>
      <c r="F76" s="23"/>
      <c r="G76" s="19" t="str">
        <f t="shared" si="0"/>
        <v>Longitud</v>
      </c>
      <c r="H76" s="22"/>
      <c r="I76" s="22"/>
      <c r="J76" s="22"/>
      <c r="K76" s="22"/>
      <c r="L76" s="18">
        <f t="shared" si="1"/>
        <v>0</v>
      </c>
    </row>
    <row r="77" spans="2:12" ht="20.100000000000001" customHeight="1" x14ac:dyDescent="0.25">
      <c r="B77" s="20">
        <v>54</v>
      </c>
      <c r="C77" s="23"/>
      <c r="D77" s="23"/>
      <c r="E77" s="23"/>
      <c r="F77" s="23"/>
      <c r="G77" s="19" t="str">
        <f t="shared" si="0"/>
        <v>Longitud</v>
      </c>
      <c r="H77" s="22"/>
      <c r="I77" s="22"/>
      <c r="J77" s="22"/>
      <c r="K77" s="22"/>
      <c r="L77" s="18">
        <f t="shared" si="1"/>
        <v>0</v>
      </c>
    </row>
    <row r="78" spans="2:12" ht="20.100000000000001" customHeight="1" x14ac:dyDescent="0.25">
      <c r="B78" s="20">
        <v>55</v>
      </c>
      <c r="C78" s="23"/>
      <c r="D78" s="23"/>
      <c r="E78" s="23"/>
      <c r="F78" s="23"/>
      <c r="G78" s="19" t="str">
        <f t="shared" si="0"/>
        <v>Longitud</v>
      </c>
      <c r="H78" s="22"/>
      <c r="I78" s="22"/>
      <c r="J78" s="22"/>
      <c r="K78" s="22"/>
      <c r="L78" s="18">
        <f t="shared" si="1"/>
        <v>0</v>
      </c>
    </row>
    <row r="79" spans="2:12" ht="20.100000000000001" customHeight="1" x14ac:dyDescent="0.25">
      <c r="B79" s="20">
        <v>56</v>
      </c>
      <c r="C79" s="23"/>
      <c r="D79" s="23"/>
      <c r="E79" s="23"/>
      <c r="F79" s="23"/>
      <c r="G79" s="19" t="str">
        <f t="shared" si="0"/>
        <v>Longitud</v>
      </c>
      <c r="H79" s="22"/>
      <c r="I79" s="22"/>
      <c r="J79" s="22"/>
      <c r="K79" s="22"/>
      <c r="L79" s="18">
        <f t="shared" si="1"/>
        <v>0</v>
      </c>
    </row>
    <row r="80" spans="2:12" ht="20.100000000000001" customHeight="1" x14ac:dyDescent="0.25">
      <c r="B80" s="20">
        <v>57</v>
      </c>
      <c r="C80" s="23"/>
      <c r="D80" s="23"/>
      <c r="E80" s="23"/>
      <c r="F80" s="23"/>
      <c r="G80" s="19" t="str">
        <f t="shared" si="0"/>
        <v>Longitud</v>
      </c>
      <c r="H80" s="22"/>
      <c r="I80" s="22"/>
      <c r="J80" s="22"/>
      <c r="K80" s="22"/>
      <c r="L80" s="18">
        <f t="shared" si="1"/>
        <v>0</v>
      </c>
    </row>
    <row r="81" spans="2:12" ht="20.100000000000001" customHeight="1" x14ac:dyDescent="0.25">
      <c r="B81" s="20">
        <v>58</v>
      </c>
      <c r="C81" s="23"/>
      <c r="D81" s="23"/>
      <c r="E81" s="23"/>
      <c r="F81" s="23"/>
      <c r="G81" s="19" t="str">
        <f t="shared" si="0"/>
        <v>Longitud</v>
      </c>
      <c r="H81" s="22"/>
      <c r="I81" s="22"/>
      <c r="J81" s="22"/>
      <c r="K81" s="22"/>
      <c r="L81" s="18">
        <f t="shared" si="1"/>
        <v>0</v>
      </c>
    </row>
    <row r="82" spans="2:12" ht="20.100000000000001" customHeight="1" x14ac:dyDescent="0.25">
      <c r="B82" s="20">
        <v>59</v>
      </c>
      <c r="C82" s="23"/>
      <c r="D82" s="23"/>
      <c r="E82" s="23"/>
      <c r="F82" s="23"/>
      <c r="G82" s="19" t="str">
        <f t="shared" si="0"/>
        <v>Longitud</v>
      </c>
      <c r="H82" s="22"/>
      <c r="I82" s="22"/>
      <c r="J82" s="22"/>
      <c r="K82" s="22"/>
      <c r="L82" s="18">
        <f t="shared" si="1"/>
        <v>0</v>
      </c>
    </row>
    <row r="83" spans="2:12" ht="20.100000000000001" customHeight="1" x14ac:dyDescent="0.25">
      <c r="B83" s="20">
        <v>60</v>
      </c>
      <c r="C83" s="23"/>
      <c r="D83" s="23"/>
      <c r="E83" s="23"/>
      <c r="F83" s="23"/>
      <c r="G83" s="19" t="str">
        <f t="shared" si="0"/>
        <v>Longitud</v>
      </c>
      <c r="H83" s="22"/>
      <c r="I83" s="22"/>
      <c r="J83" s="22"/>
      <c r="K83" s="22"/>
      <c r="L83" s="18">
        <f t="shared" si="1"/>
        <v>0</v>
      </c>
    </row>
    <row r="84" spans="2:12" ht="20.100000000000001" customHeight="1" x14ac:dyDescent="0.25">
      <c r="B84" s="20">
        <v>61</v>
      </c>
      <c r="C84" s="23"/>
      <c r="D84" s="23"/>
      <c r="E84" s="23"/>
      <c r="F84" s="23"/>
      <c r="G84" s="19" t="str">
        <f t="shared" si="0"/>
        <v>Longitud</v>
      </c>
      <c r="H84" s="22"/>
      <c r="I84" s="22"/>
      <c r="J84" s="22"/>
      <c r="K84" s="22"/>
      <c r="L84" s="18">
        <f t="shared" si="1"/>
        <v>0</v>
      </c>
    </row>
    <row r="85" spans="2:12" ht="20.100000000000001" customHeight="1" x14ac:dyDescent="0.25">
      <c r="B85" s="20">
        <v>62</v>
      </c>
      <c r="C85" s="23"/>
      <c r="D85" s="23"/>
      <c r="E85" s="23"/>
      <c r="F85" s="23"/>
      <c r="G85" s="19" t="str">
        <f t="shared" si="0"/>
        <v>Longitud</v>
      </c>
      <c r="H85" s="22"/>
      <c r="I85" s="22"/>
      <c r="J85" s="22"/>
      <c r="K85" s="22"/>
      <c r="L85" s="18">
        <f t="shared" si="1"/>
        <v>0</v>
      </c>
    </row>
    <row r="86" spans="2:12" ht="20.100000000000001" customHeight="1" x14ac:dyDescent="0.25">
      <c r="B86" s="20">
        <v>63</v>
      </c>
      <c r="C86" s="23"/>
      <c r="D86" s="23"/>
      <c r="E86" s="23"/>
      <c r="F86" s="23"/>
      <c r="G86" s="19" t="str">
        <f t="shared" si="0"/>
        <v>Longitud</v>
      </c>
      <c r="H86" s="22"/>
      <c r="I86" s="22"/>
      <c r="J86" s="22"/>
      <c r="K86" s="22"/>
      <c r="L86" s="18">
        <f t="shared" si="1"/>
        <v>0</v>
      </c>
    </row>
    <row r="87" spans="2:12" ht="20.100000000000001" customHeight="1" x14ac:dyDescent="0.25">
      <c r="B87" s="20">
        <v>64</v>
      </c>
      <c r="C87" s="23"/>
      <c r="D87" s="23"/>
      <c r="E87" s="23"/>
      <c r="F87" s="23"/>
      <c r="G87" s="19" t="str">
        <f t="shared" si="0"/>
        <v>Longitud</v>
      </c>
      <c r="H87" s="22"/>
      <c r="I87" s="22"/>
      <c r="J87" s="22"/>
      <c r="K87" s="22"/>
      <c r="L87" s="18">
        <f t="shared" si="1"/>
        <v>0</v>
      </c>
    </row>
    <row r="88" spans="2:12" ht="20.100000000000001" customHeight="1" x14ac:dyDescent="0.25">
      <c r="B88" s="20">
        <v>65</v>
      </c>
      <c r="C88" s="23"/>
      <c r="D88" s="23"/>
      <c r="E88" s="23"/>
      <c r="F88" s="23"/>
      <c r="G88" s="19" t="str">
        <f t="shared" ref="G88:G151" si="2">$E$19</f>
        <v>Longitud</v>
      </c>
      <c r="H88" s="22"/>
      <c r="I88" s="22"/>
      <c r="J88" s="22"/>
      <c r="K88" s="22"/>
      <c r="L88" s="18">
        <f t="shared" ref="L88:L151" si="3">((((D88+40)*F88*(IF(I88&gt;0.5,1,0)+IF(K88&gt;0.5,1,0))))+((E88+40)*F88*(IF(H88&gt;0.5,1,0)+IF(J88&gt;0.5,1,0))))/1000</f>
        <v>0</v>
      </c>
    </row>
    <row r="89" spans="2:12" ht="20.100000000000001" customHeight="1" x14ac:dyDescent="0.25">
      <c r="B89" s="20">
        <v>66</v>
      </c>
      <c r="C89" s="23"/>
      <c r="D89" s="23"/>
      <c r="E89" s="23"/>
      <c r="F89" s="23"/>
      <c r="G89" s="19" t="str">
        <f t="shared" si="2"/>
        <v>Longitud</v>
      </c>
      <c r="H89" s="22"/>
      <c r="I89" s="22"/>
      <c r="J89" s="22"/>
      <c r="K89" s="22"/>
      <c r="L89" s="18">
        <f t="shared" si="3"/>
        <v>0</v>
      </c>
    </row>
    <row r="90" spans="2:12" ht="20.100000000000001" customHeight="1" x14ac:dyDescent="0.25">
      <c r="B90" s="20">
        <v>67</v>
      </c>
      <c r="C90" s="23"/>
      <c r="D90" s="23"/>
      <c r="E90" s="23"/>
      <c r="F90" s="23"/>
      <c r="G90" s="19" t="str">
        <f t="shared" si="2"/>
        <v>Longitud</v>
      </c>
      <c r="H90" s="22"/>
      <c r="I90" s="22"/>
      <c r="J90" s="22"/>
      <c r="K90" s="22"/>
      <c r="L90" s="18">
        <f t="shared" si="3"/>
        <v>0</v>
      </c>
    </row>
    <row r="91" spans="2:12" ht="20.100000000000001" customHeight="1" x14ac:dyDescent="0.25">
      <c r="B91" s="20">
        <v>68</v>
      </c>
      <c r="C91" s="23"/>
      <c r="D91" s="23"/>
      <c r="E91" s="23"/>
      <c r="F91" s="23"/>
      <c r="G91" s="19" t="str">
        <f t="shared" si="2"/>
        <v>Longitud</v>
      </c>
      <c r="H91" s="22"/>
      <c r="I91" s="22"/>
      <c r="J91" s="22"/>
      <c r="K91" s="22"/>
      <c r="L91" s="18">
        <f t="shared" si="3"/>
        <v>0</v>
      </c>
    </row>
    <row r="92" spans="2:12" ht="20.100000000000001" customHeight="1" x14ac:dyDescent="0.25">
      <c r="B92" s="20">
        <v>69</v>
      </c>
      <c r="C92" s="23"/>
      <c r="D92" s="23"/>
      <c r="E92" s="23"/>
      <c r="F92" s="23"/>
      <c r="G92" s="19" t="str">
        <f t="shared" si="2"/>
        <v>Longitud</v>
      </c>
      <c r="H92" s="22"/>
      <c r="I92" s="22"/>
      <c r="J92" s="22"/>
      <c r="K92" s="22"/>
      <c r="L92" s="18">
        <f t="shared" si="3"/>
        <v>0</v>
      </c>
    </row>
    <row r="93" spans="2:12" ht="20.100000000000001" customHeight="1" x14ac:dyDescent="0.25">
      <c r="B93" s="20">
        <v>70</v>
      </c>
      <c r="C93" s="23"/>
      <c r="D93" s="23"/>
      <c r="E93" s="23"/>
      <c r="F93" s="23"/>
      <c r="G93" s="19" t="str">
        <f t="shared" si="2"/>
        <v>Longitud</v>
      </c>
      <c r="H93" s="22"/>
      <c r="I93" s="22"/>
      <c r="J93" s="22"/>
      <c r="K93" s="22"/>
      <c r="L93" s="18">
        <f t="shared" si="3"/>
        <v>0</v>
      </c>
    </row>
    <row r="94" spans="2:12" ht="20.100000000000001" customHeight="1" x14ac:dyDescent="0.25">
      <c r="B94" s="20">
        <v>71</v>
      </c>
      <c r="C94" s="23"/>
      <c r="D94" s="23"/>
      <c r="E94" s="23"/>
      <c r="F94" s="23"/>
      <c r="G94" s="19" t="str">
        <f t="shared" si="2"/>
        <v>Longitud</v>
      </c>
      <c r="H94" s="22"/>
      <c r="I94" s="22"/>
      <c r="J94" s="22"/>
      <c r="K94" s="22"/>
      <c r="L94" s="18">
        <f t="shared" si="3"/>
        <v>0</v>
      </c>
    </row>
    <row r="95" spans="2:12" ht="20.100000000000001" customHeight="1" x14ac:dyDescent="0.25">
      <c r="B95" s="20">
        <v>72</v>
      </c>
      <c r="C95" s="23"/>
      <c r="D95" s="23"/>
      <c r="E95" s="23"/>
      <c r="F95" s="23"/>
      <c r="G95" s="19" t="str">
        <f t="shared" si="2"/>
        <v>Longitud</v>
      </c>
      <c r="H95" s="22"/>
      <c r="I95" s="22"/>
      <c r="J95" s="22"/>
      <c r="K95" s="22"/>
      <c r="L95" s="18">
        <f t="shared" si="3"/>
        <v>0</v>
      </c>
    </row>
    <row r="96" spans="2:12" ht="20.100000000000001" customHeight="1" x14ac:dyDescent="0.25">
      <c r="B96" s="20">
        <v>73</v>
      </c>
      <c r="C96" s="23"/>
      <c r="D96" s="23"/>
      <c r="E96" s="23"/>
      <c r="F96" s="23"/>
      <c r="G96" s="19" t="str">
        <f t="shared" si="2"/>
        <v>Longitud</v>
      </c>
      <c r="H96" s="22"/>
      <c r="I96" s="22"/>
      <c r="J96" s="22"/>
      <c r="K96" s="22"/>
      <c r="L96" s="18">
        <f t="shared" si="3"/>
        <v>0</v>
      </c>
    </row>
    <row r="97" spans="2:12" ht="20.100000000000001" customHeight="1" x14ac:dyDescent="0.25">
      <c r="B97" s="20">
        <v>74</v>
      </c>
      <c r="C97" s="23"/>
      <c r="D97" s="23"/>
      <c r="E97" s="23"/>
      <c r="F97" s="23"/>
      <c r="G97" s="19" t="str">
        <f t="shared" si="2"/>
        <v>Longitud</v>
      </c>
      <c r="H97" s="22"/>
      <c r="I97" s="22"/>
      <c r="J97" s="22"/>
      <c r="K97" s="22"/>
      <c r="L97" s="18">
        <f t="shared" si="3"/>
        <v>0</v>
      </c>
    </row>
    <row r="98" spans="2:12" ht="20.100000000000001" customHeight="1" x14ac:dyDescent="0.25">
      <c r="B98" s="20">
        <v>75</v>
      </c>
      <c r="C98" s="23"/>
      <c r="D98" s="23"/>
      <c r="E98" s="23"/>
      <c r="F98" s="23"/>
      <c r="G98" s="19" t="str">
        <f t="shared" si="2"/>
        <v>Longitud</v>
      </c>
      <c r="H98" s="22"/>
      <c r="I98" s="22"/>
      <c r="J98" s="22"/>
      <c r="K98" s="22"/>
      <c r="L98" s="18">
        <f t="shared" si="3"/>
        <v>0</v>
      </c>
    </row>
    <row r="99" spans="2:12" ht="20.100000000000001" customHeight="1" x14ac:dyDescent="0.25">
      <c r="B99" s="20">
        <v>76</v>
      </c>
      <c r="C99" s="23"/>
      <c r="D99" s="23"/>
      <c r="E99" s="23"/>
      <c r="F99" s="23"/>
      <c r="G99" s="19" t="str">
        <f t="shared" si="2"/>
        <v>Longitud</v>
      </c>
      <c r="H99" s="22"/>
      <c r="I99" s="22"/>
      <c r="J99" s="22"/>
      <c r="K99" s="22"/>
      <c r="L99" s="18">
        <f t="shared" si="3"/>
        <v>0</v>
      </c>
    </row>
    <row r="100" spans="2:12" ht="20.100000000000001" customHeight="1" x14ac:dyDescent="0.25">
      <c r="B100" s="20">
        <v>77</v>
      </c>
      <c r="C100" s="23"/>
      <c r="D100" s="23"/>
      <c r="E100" s="23"/>
      <c r="F100" s="23"/>
      <c r="G100" s="19" t="str">
        <f t="shared" si="2"/>
        <v>Longitud</v>
      </c>
      <c r="H100" s="22"/>
      <c r="I100" s="22"/>
      <c r="J100" s="22"/>
      <c r="K100" s="22"/>
      <c r="L100" s="18">
        <f t="shared" si="3"/>
        <v>0</v>
      </c>
    </row>
    <row r="101" spans="2:12" ht="20.100000000000001" customHeight="1" x14ac:dyDescent="0.25">
      <c r="B101" s="20">
        <v>78</v>
      </c>
      <c r="C101" s="23"/>
      <c r="D101" s="23"/>
      <c r="E101" s="23"/>
      <c r="F101" s="23"/>
      <c r="G101" s="19" t="str">
        <f t="shared" si="2"/>
        <v>Longitud</v>
      </c>
      <c r="H101" s="22"/>
      <c r="I101" s="22"/>
      <c r="J101" s="22"/>
      <c r="K101" s="22"/>
      <c r="L101" s="18">
        <f t="shared" si="3"/>
        <v>0</v>
      </c>
    </row>
    <row r="102" spans="2:12" ht="20.100000000000001" customHeight="1" x14ac:dyDescent="0.25">
      <c r="B102" s="20">
        <v>79</v>
      </c>
      <c r="C102" s="23"/>
      <c r="D102" s="23"/>
      <c r="E102" s="23"/>
      <c r="F102" s="23"/>
      <c r="G102" s="19" t="str">
        <f t="shared" si="2"/>
        <v>Longitud</v>
      </c>
      <c r="H102" s="22"/>
      <c r="I102" s="22"/>
      <c r="J102" s="22"/>
      <c r="K102" s="22"/>
      <c r="L102" s="18">
        <f t="shared" si="3"/>
        <v>0</v>
      </c>
    </row>
    <row r="103" spans="2:12" ht="20.100000000000001" customHeight="1" x14ac:dyDescent="0.25">
      <c r="B103" s="20">
        <v>80</v>
      </c>
      <c r="C103" s="23"/>
      <c r="D103" s="23"/>
      <c r="E103" s="23"/>
      <c r="F103" s="23"/>
      <c r="G103" s="19" t="str">
        <f t="shared" si="2"/>
        <v>Longitud</v>
      </c>
      <c r="H103" s="22"/>
      <c r="I103" s="22"/>
      <c r="J103" s="22"/>
      <c r="K103" s="22"/>
      <c r="L103" s="18">
        <f t="shared" si="3"/>
        <v>0</v>
      </c>
    </row>
    <row r="104" spans="2:12" ht="20.100000000000001" customHeight="1" x14ac:dyDescent="0.25">
      <c r="B104" s="20">
        <v>81</v>
      </c>
      <c r="C104" s="23"/>
      <c r="D104" s="23"/>
      <c r="E104" s="23"/>
      <c r="F104" s="23"/>
      <c r="G104" s="19" t="str">
        <f t="shared" si="2"/>
        <v>Longitud</v>
      </c>
      <c r="H104" s="22"/>
      <c r="I104" s="22"/>
      <c r="J104" s="22"/>
      <c r="K104" s="22"/>
      <c r="L104" s="18">
        <f t="shared" si="3"/>
        <v>0</v>
      </c>
    </row>
    <row r="105" spans="2:12" ht="20.100000000000001" customHeight="1" x14ac:dyDescent="0.25">
      <c r="B105" s="20">
        <v>82</v>
      </c>
      <c r="C105" s="23"/>
      <c r="D105" s="23"/>
      <c r="E105" s="23"/>
      <c r="F105" s="23"/>
      <c r="G105" s="19" t="str">
        <f t="shared" si="2"/>
        <v>Longitud</v>
      </c>
      <c r="H105" s="22"/>
      <c r="I105" s="22"/>
      <c r="J105" s="22"/>
      <c r="K105" s="22"/>
      <c r="L105" s="18">
        <f t="shared" si="3"/>
        <v>0</v>
      </c>
    </row>
    <row r="106" spans="2:12" ht="20.100000000000001" customHeight="1" x14ac:dyDescent="0.25">
      <c r="B106" s="20">
        <v>83</v>
      </c>
      <c r="C106" s="23"/>
      <c r="D106" s="23"/>
      <c r="E106" s="23"/>
      <c r="F106" s="23"/>
      <c r="G106" s="19" t="str">
        <f t="shared" si="2"/>
        <v>Longitud</v>
      </c>
      <c r="H106" s="22"/>
      <c r="I106" s="22"/>
      <c r="J106" s="22"/>
      <c r="K106" s="22"/>
      <c r="L106" s="18">
        <f t="shared" si="3"/>
        <v>0</v>
      </c>
    </row>
    <row r="107" spans="2:12" ht="20.100000000000001" customHeight="1" x14ac:dyDescent="0.25">
      <c r="B107" s="20">
        <v>84</v>
      </c>
      <c r="C107" s="23"/>
      <c r="D107" s="23"/>
      <c r="E107" s="23"/>
      <c r="F107" s="23"/>
      <c r="G107" s="19" t="str">
        <f t="shared" si="2"/>
        <v>Longitud</v>
      </c>
      <c r="H107" s="22"/>
      <c r="I107" s="22"/>
      <c r="J107" s="22"/>
      <c r="K107" s="22"/>
      <c r="L107" s="18">
        <f t="shared" si="3"/>
        <v>0</v>
      </c>
    </row>
    <row r="108" spans="2:12" ht="20.100000000000001" customHeight="1" x14ac:dyDescent="0.25">
      <c r="B108" s="20">
        <v>85</v>
      </c>
      <c r="C108" s="23"/>
      <c r="D108" s="23"/>
      <c r="E108" s="23"/>
      <c r="F108" s="23"/>
      <c r="G108" s="19" t="str">
        <f t="shared" si="2"/>
        <v>Longitud</v>
      </c>
      <c r="H108" s="22"/>
      <c r="I108" s="22"/>
      <c r="J108" s="22"/>
      <c r="K108" s="22"/>
      <c r="L108" s="18">
        <f t="shared" si="3"/>
        <v>0</v>
      </c>
    </row>
    <row r="109" spans="2:12" ht="20.100000000000001" customHeight="1" x14ac:dyDescent="0.25">
      <c r="B109" s="20">
        <v>86</v>
      </c>
      <c r="C109" s="23"/>
      <c r="D109" s="23"/>
      <c r="E109" s="23"/>
      <c r="F109" s="23"/>
      <c r="G109" s="19" t="str">
        <f t="shared" si="2"/>
        <v>Longitud</v>
      </c>
      <c r="H109" s="22"/>
      <c r="I109" s="22"/>
      <c r="J109" s="22"/>
      <c r="K109" s="22"/>
      <c r="L109" s="18">
        <f t="shared" si="3"/>
        <v>0</v>
      </c>
    </row>
    <row r="110" spans="2:12" ht="20.100000000000001" customHeight="1" x14ac:dyDescent="0.25">
      <c r="B110" s="20">
        <v>87</v>
      </c>
      <c r="C110" s="23"/>
      <c r="D110" s="23"/>
      <c r="E110" s="23"/>
      <c r="F110" s="23"/>
      <c r="G110" s="19" t="str">
        <f t="shared" si="2"/>
        <v>Longitud</v>
      </c>
      <c r="H110" s="22"/>
      <c r="I110" s="22"/>
      <c r="J110" s="22"/>
      <c r="K110" s="22"/>
      <c r="L110" s="18">
        <f t="shared" si="3"/>
        <v>0</v>
      </c>
    </row>
    <row r="111" spans="2:12" ht="20.100000000000001" customHeight="1" x14ac:dyDescent="0.25">
      <c r="B111" s="20">
        <v>88</v>
      </c>
      <c r="C111" s="23"/>
      <c r="D111" s="23"/>
      <c r="E111" s="23"/>
      <c r="F111" s="23"/>
      <c r="G111" s="19" t="str">
        <f t="shared" si="2"/>
        <v>Longitud</v>
      </c>
      <c r="H111" s="22"/>
      <c r="I111" s="22"/>
      <c r="J111" s="22"/>
      <c r="K111" s="22"/>
      <c r="L111" s="18">
        <f t="shared" si="3"/>
        <v>0</v>
      </c>
    </row>
    <row r="112" spans="2:12" ht="20.100000000000001" customHeight="1" x14ac:dyDescent="0.25">
      <c r="B112" s="20">
        <v>89</v>
      </c>
      <c r="C112" s="23"/>
      <c r="D112" s="23"/>
      <c r="E112" s="23"/>
      <c r="F112" s="23"/>
      <c r="G112" s="19" t="str">
        <f t="shared" si="2"/>
        <v>Longitud</v>
      </c>
      <c r="H112" s="22"/>
      <c r="I112" s="22"/>
      <c r="J112" s="22"/>
      <c r="K112" s="22"/>
      <c r="L112" s="18">
        <f t="shared" si="3"/>
        <v>0</v>
      </c>
    </row>
    <row r="113" spans="2:12" ht="20.100000000000001" customHeight="1" x14ac:dyDescent="0.25">
      <c r="B113" s="20">
        <v>90</v>
      </c>
      <c r="C113" s="23"/>
      <c r="D113" s="23"/>
      <c r="E113" s="23"/>
      <c r="F113" s="23"/>
      <c r="G113" s="19" t="str">
        <f t="shared" si="2"/>
        <v>Longitud</v>
      </c>
      <c r="H113" s="22"/>
      <c r="I113" s="22"/>
      <c r="J113" s="22"/>
      <c r="K113" s="22"/>
      <c r="L113" s="18">
        <f t="shared" si="3"/>
        <v>0</v>
      </c>
    </row>
    <row r="114" spans="2:12" ht="20.100000000000001" customHeight="1" x14ac:dyDescent="0.25">
      <c r="B114" s="20">
        <v>91</v>
      </c>
      <c r="C114" s="23"/>
      <c r="D114" s="23"/>
      <c r="E114" s="23"/>
      <c r="F114" s="23"/>
      <c r="G114" s="19" t="str">
        <f t="shared" si="2"/>
        <v>Longitud</v>
      </c>
      <c r="H114" s="22"/>
      <c r="I114" s="22"/>
      <c r="J114" s="22"/>
      <c r="K114" s="22"/>
      <c r="L114" s="18">
        <f t="shared" si="3"/>
        <v>0</v>
      </c>
    </row>
    <row r="115" spans="2:12" ht="20.100000000000001" customHeight="1" x14ac:dyDescent="0.25">
      <c r="B115" s="20">
        <v>92</v>
      </c>
      <c r="C115" s="23"/>
      <c r="D115" s="23"/>
      <c r="E115" s="23"/>
      <c r="F115" s="23"/>
      <c r="G115" s="19" t="str">
        <f t="shared" si="2"/>
        <v>Longitud</v>
      </c>
      <c r="H115" s="22"/>
      <c r="I115" s="22"/>
      <c r="J115" s="22"/>
      <c r="K115" s="22"/>
      <c r="L115" s="18">
        <f t="shared" si="3"/>
        <v>0</v>
      </c>
    </row>
    <row r="116" spans="2:12" ht="20.100000000000001" customHeight="1" x14ac:dyDescent="0.25">
      <c r="B116" s="20">
        <v>93</v>
      </c>
      <c r="C116" s="23"/>
      <c r="D116" s="23"/>
      <c r="E116" s="23"/>
      <c r="F116" s="23"/>
      <c r="G116" s="19" t="str">
        <f t="shared" si="2"/>
        <v>Longitud</v>
      </c>
      <c r="H116" s="22"/>
      <c r="I116" s="22"/>
      <c r="J116" s="22"/>
      <c r="K116" s="22"/>
      <c r="L116" s="18">
        <f t="shared" si="3"/>
        <v>0</v>
      </c>
    </row>
    <row r="117" spans="2:12" ht="20.100000000000001" customHeight="1" x14ac:dyDescent="0.25">
      <c r="B117" s="20">
        <v>94</v>
      </c>
      <c r="C117" s="23"/>
      <c r="D117" s="23"/>
      <c r="E117" s="23"/>
      <c r="F117" s="23"/>
      <c r="G117" s="19" t="str">
        <f t="shared" si="2"/>
        <v>Longitud</v>
      </c>
      <c r="H117" s="22"/>
      <c r="I117" s="22"/>
      <c r="J117" s="22"/>
      <c r="K117" s="22"/>
      <c r="L117" s="18">
        <f t="shared" si="3"/>
        <v>0</v>
      </c>
    </row>
    <row r="118" spans="2:12" ht="20.100000000000001" customHeight="1" x14ac:dyDescent="0.25">
      <c r="B118" s="20">
        <v>95</v>
      </c>
      <c r="C118" s="23"/>
      <c r="D118" s="23"/>
      <c r="E118" s="23"/>
      <c r="F118" s="23"/>
      <c r="G118" s="19" t="str">
        <f t="shared" si="2"/>
        <v>Longitud</v>
      </c>
      <c r="H118" s="22"/>
      <c r="I118" s="22"/>
      <c r="J118" s="22"/>
      <c r="K118" s="22"/>
      <c r="L118" s="18">
        <f t="shared" si="3"/>
        <v>0</v>
      </c>
    </row>
    <row r="119" spans="2:12" ht="20.100000000000001" customHeight="1" x14ac:dyDescent="0.25">
      <c r="B119" s="20">
        <v>96</v>
      </c>
      <c r="C119" s="23"/>
      <c r="D119" s="23"/>
      <c r="E119" s="23"/>
      <c r="F119" s="23"/>
      <c r="G119" s="19" t="str">
        <f t="shared" si="2"/>
        <v>Longitud</v>
      </c>
      <c r="H119" s="22"/>
      <c r="I119" s="22"/>
      <c r="J119" s="22"/>
      <c r="K119" s="22"/>
      <c r="L119" s="18">
        <f t="shared" si="3"/>
        <v>0</v>
      </c>
    </row>
    <row r="120" spans="2:12" ht="20.100000000000001" customHeight="1" x14ac:dyDescent="0.25">
      <c r="B120" s="20">
        <v>97</v>
      </c>
      <c r="C120" s="23"/>
      <c r="D120" s="23"/>
      <c r="E120" s="23"/>
      <c r="F120" s="23"/>
      <c r="G120" s="19" t="str">
        <f t="shared" si="2"/>
        <v>Longitud</v>
      </c>
      <c r="H120" s="22"/>
      <c r="I120" s="22"/>
      <c r="J120" s="22"/>
      <c r="K120" s="22"/>
      <c r="L120" s="18">
        <f t="shared" si="3"/>
        <v>0</v>
      </c>
    </row>
    <row r="121" spans="2:12" ht="20.100000000000001" customHeight="1" x14ac:dyDescent="0.25">
      <c r="B121" s="20">
        <v>98</v>
      </c>
      <c r="C121" s="23"/>
      <c r="D121" s="23"/>
      <c r="E121" s="23"/>
      <c r="F121" s="23"/>
      <c r="G121" s="19" t="str">
        <f t="shared" si="2"/>
        <v>Longitud</v>
      </c>
      <c r="H121" s="22"/>
      <c r="I121" s="22"/>
      <c r="J121" s="22"/>
      <c r="K121" s="22"/>
      <c r="L121" s="18">
        <f t="shared" si="3"/>
        <v>0</v>
      </c>
    </row>
    <row r="122" spans="2:12" ht="20.100000000000001" customHeight="1" x14ac:dyDescent="0.25">
      <c r="B122" s="20">
        <v>99</v>
      </c>
      <c r="C122" s="23"/>
      <c r="D122" s="23"/>
      <c r="E122" s="23"/>
      <c r="F122" s="23"/>
      <c r="G122" s="19" t="str">
        <f t="shared" si="2"/>
        <v>Longitud</v>
      </c>
      <c r="H122" s="22"/>
      <c r="I122" s="22"/>
      <c r="J122" s="22"/>
      <c r="K122" s="22"/>
      <c r="L122" s="18">
        <f t="shared" si="3"/>
        <v>0</v>
      </c>
    </row>
    <row r="123" spans="2:12" ht="20.100000000000001" customHeight="1" x14ac:dyDescent="0.25">
      <c r="B123" s="20">
        <v>100</v>
      </c>
      <c r="C123" s="23"/>
      <c r="D123" s="23"/>
      <c r="E123" s="23"/>
      <c r="F123" s="23"/>
      <c r="G123" s="19" t="str">
        <f t="shared" si="2"/>
        <v>Longitud</v>
      </c>
      <c r="H123" s="22"/>
      <c r="I123" s="22"/>
      <c r="J123" s="22"/>
      <c r="K123" s="22"/>
      <c r="L123" s="18">
        <f t="shared" si="3"/>
        <v>0</v>
      </c>
    </row>
    <row r="124" spans="2:12" ht="20.100000000000001" customHeight="1" x14ac:dyDescent="0.25">
      <c r="B124" s="20">
        <v>101</v>
      </c>
      <c r="C124" s="23"/>
      <c r="D124" s="23"/>
      <c r="E124" s="23"/>
      <c r="F124" s="23"/>
      <c r="G124" s="19" t="str">
        <f t="shared" si="2"/>
        <v>Longitud</v>
      </c>
      <c r="H124" s="22"/>
      <c r="I124" s="22"/>
      <c r="J124" s="22"/>
      <c r="K124" s="22"/>
      <c r="L124" s="18">
        <f t="shared" si="3"/>
        <v>0</v>
      </c>
    </row>
    <row r="125" spans="2:12" ht="20.100000000000001" customHeight="1" x14ac:dyDescent="0.25">
      <c r="B125" s="20">
        <v>102</v>
      </c>
      <c r="C125" s="23"/>
      <c r="D125" s="23"/>
      <c r="E125" s="23"/>
      <c r="F125" s="23"/>
      <c r="G125" s="19" t="str">
        <f t="shared" si="2"/>
        <v>Longitud</v>
      </c>
      <c r="H125" s="22"/>
      <c r="I125" s="22"/>
      <c r="J125" s="22"/>
      <c r="K125" s="22"/>
      <c r="L125" s="18">
        <f t="shared" si="3"/>
        <v>0</v>
      </c>
    </row>
    <row r="126" spans="2:12" ht="20.100000000000001" customHeight="1" x14ac:dyDescent="0.25">
      <c r="B126" s="20">
        <v>103</v>
      </c>
      <c r="C126" s="23"/>
      <c r="D126" s="23"/>
      <c r="E126" s="23"/>
      <c r="F126" s="23"/>
      <c r="G126" s="19" t="str">
        <f t="shared" si="2"/>
        <v>Longitud</v>
      </c>
      <c r="H126" s="22"/>
      <c r="I126" s="22"/>
      <c r="J126" s="22"/>
      <c r="K126" s="22"/>
      <c r="L126" s="18">
        <f t="shared" si="3"/>
        <v>0</v>
      </c>
    </row>
    <row r="127" spans="2:12" ht="20.100000000000001" customHeight="1" x14ac:dyDescent="0.25">
      <c r="B127" s="20">
        <v>104</v>
      </c>
      <c r="C127" s="23"/>
      <c r="D127" s="23"/>
      <c r="E127" s="23"/>
      <c r="F127" s="23"/>
      <c r="G127" s="19" t="str">
        <f t="shared" si="2"/>
        <v>Longitud</v>
      </c>
      <c r="H127" s="22"/>
      <c r="I127" s="22"/>
      <c r="J127" s="22"/>
      <c r="K127" s="22"/>
      <c r="L127" s="18">
        <f t="shared" si="3"/>
        <v>0</v>
      </c>
    </row>
    <row r="128" spans="2:12" ht="20.100000000000001" customHeight="1" x14ac:dyDescent="0.25">
      <c r="B128" s="20">
        <v>105</v>
      </c>
      <c r="C128" s="23"/>
      <c r="D128" s="23"/>
      <c r="E128" s="23"/>
      <c r="F128" s="23"/>
      <c r="G128" s="19" t="str">
        <f t="shared" si="2"/>
        <v>Longitud</v>
      </c>
      <c r="H128" s="22"/>
      <c r="I128" s="22"/>
      <c r="J128" s="22"/>
      <c r="K128" s="22"/>
      <c r="L128" s="18">
        <f t="shared" si="3"/>
        <v>0</v>
      </c>
    </row>
    <row r="129" spans="2:12" ht="20.100000000000001" customHeight="1" x14ac:dyDescent="0.25">
      <c r="B129" s="20">
        <v>106</v>
      </c>
      <c r="C129" s="23"/>
      <c r="D129" s="23"/>
      <c r="E129" s="23"/>
      <c r="F129" s="23"/>
      <c r="G129" s="19" t="str">
        <f t="shared" si="2"/>
        <v>Longitud</v>
      </c>
      <c r="H129" s="22"/>
      <c r="I129" s="22"/>
      <c r="J129" s="22"/>
      <c r="K129" s="22"/>
      <c r="L129" s="18">
        <f t="shared" si="3"/>
        <v>0</v>
      </c>
    </row>
    <row r="130" spans="2:12" ht="20.100000000000001" customHeight="1" x14ac:dyDescent="0.25">
      <c r="B130" s="20">
        <v>107</v>
      </c>
      <c r="C130" s="23"/>
      <c r="D130" s="23"/>
      <c r="E130" s="23"/>
      <c r="F130" s="23"/>
      <c r="G130" s="19" t="str">
        <f t="shared" si="2"/>
        <v>Longitud</v>
      </c>
      <c r="H130" s="22"/>
      <c r="I130" s="22"/>
      <c r="J130" s="22"/>
      <c r="K130" s="22"/>
      <c r="L130" s="18">
        <f t="shared" si="3"/>
        <v>0</v>
      </c>
    </row>
    <row r="131" spans="2:12" ht="20.100000000000001" customHeight="1" x14ac:dyDescent="0.25">
      <c r="B131" s="20">
        <v>108</v>
      </c>
      <c r="C131" s="23"/>
      <c r="D131" s="23"/>
      <c r="E131" s="23"/>
      <c r="F131" s="23"/>
      <c r="G131" s="19" t="str">
        <f t="shared" si="2"/>
        <v>Longitud</v>
      </c>
      <c r="H131" s="22"/>
      <c r="I131" s="22"/>
      <c r="J131" s="22"/>
      <c r="K131" s="22"/>
      <c r="L131" s="18">
        <f t="shared" si="3"/>
        <v>0</v>
      </c>
    </row>
    <row r="132" spans="2:12" ht="20.100000000000001" customHeight="1" x14ac:dyDescent="0.25">
      <c r="B132" s="20">
        <v>109</v>
      </c>
      <c r="C132" s="23"/>
      <c r="D132" s="23"/>
      <c r="E132" s="23"/>
      <c r="F132" s="23"/>
      <c r="G132" s="19" t="str">
        <f t="shared" si="2"/>
        <v>Longitud</v>
      </c>
      <c r="H132" s="22"/>
      <c r="I132" s="22"/>
      <c r="J132" s="22"/>
      <c r="K132" s="22"/>
      <c r="L132" s="18">
        <f t="shared" si="3"/>
        <v>0</v>
      </c>
    </row>
    <row r="133" spans="2:12" ht="20.100000000000001" customHeight="1" x14ac:dyDescent="0.25">
      <c r="B133" s="20">
        <v>110</v>
      </c>
      <c r="C133" s="23"/>
      <c r="D133" s="23"/>
      <c r="E133" s="23"/>
      <c r="F133" s="23"/>
      <c r="G133" s="19" t="str">
        <f t="shared" si="2"/>
        <v>Longitud</v>
      </c>
      <c r="H133" s="22"/>
      <c r="I133" s="22"/>
      <c r="J133" s="22"/>
      <c r="K133" s="22"/>
      <c r="L133" s="18">
        <f t="shared" si="3"/>
        <v>0</v>
      </c>
    </row>
    <row r="134" spans="2:12" ht="20.100000000000001" customHeight="1" x14ac:dyDescent="0.25">
      <c r="B134" s="20">
        <v>111</v>
      </c>
      <c r="C134" s="23"/>
      <c r="D134" s="23"/>
      <c r="E134" s="23"/>
      <c r="F134" s="23"/>
      <c r="G134" s="19" t="str">
        <f t="shared" si="2"/>
        <v>Longitud</v>
      </c>
      <c r="H134" s="22"/>
      <c r="I134" s="22"/>
      <c r="J134" s="22"/>
      <c r="K134" s="22"/>
      <c r="L134" s="18">
        <f t="shared" si="3"/>
        <v>0</v>
      </c>
    </row>
    <row r="135" spans="2:12" ht="20.100000000000001" customHeight="1" x14ac:dyDescent="0.25">
      <c r="B135" s="20">
        <v>112</v>
      </c>
      <c r="C135" s="23"/>
      <c r="D135" s="23"/>
      <c r="E135" s="23"/>
      <c r="F135" s="23"/>
      <c r="G135" s="19" t="str">
        <f t="shared" si="2"/>
        <v>Longitud</v>
      </c>
      <c r="H135" s="22"/>
      <c r="I135" s="22"/>
      <c r="J135" s="22"/>
      <c r="K135" s="22"/>
      <c r="L135" s="18">
        <f t="shared" si="3"/>
        <v>0</v>
      </c>
    </row>
    <row r="136" spans="2:12" ht="20.100000000000001" customHeight="1" x14ac:dyDescent="0.25">
      <c r="B136" s="20">
        <v>113</v>
      </c>
      <c r="C136" s="23"/>
      <c r="D136" s="23"/>
      <c r="E136" s="23"/>
      <c r="F136" s="23"/>
      <c r="G136" s="19" t="str">
        <f t="shared" si="2"/>
        <v>Longitud</v>
      </c>
      <c r="H136" s="22"/>
      <c r="I136" s="22"/>
      <c r="J136" s="22"/>
      <c r="K136" s="22"/>
      <c r="L136" s="18">
        <f t="shared" si="3"/>
        <v>0</v>
      </c>
    </row>
    <row r="137" spans="2:12" ht="20.100000000000001" customHeight="1" x14ac:dyDescent="0.25">
      <c r="B137" s="20">
        <v>114</v>
      </c>
      <c r="C137" s="23"/>
      <c r="D137" s="23"/>
      <c r="E137" s="23"/>
      <c r="F137" s="23"/>
      <c r="G137" s="19" t="str">
        <f t="shared" si="2"/>
        <v>Longitud</v>
      </c>
      <c r="H137" s="22"/>
      <c r="I137" s="22"/>
      <c r="J137" s="22"/>
      <c r="K137" s="22"/>
      <c r="L137" s="18">
        <f t="shared" si="3"/>
        <v>0</v>
      </c>
    </row>
    <row r="138" spans="2:12" ht="20.100000000000001" customHeight="1" x14ac:dyDescent="0.25">
      <c r="B138" s="20">
        <v>115</v>
      </c>
      <c r="C138" s="23"/>
      <c r="D138" s="23"/>
      <c r="E138" s="23"/>
      <c r="F138" s="23"/>
      <c r="G138" s="19" t="str">
        <f t="shared" si="2"/>
        <v>Longitud</v>
      </c>
      <c r="H138" s="22"/>
      <c r="I138" s="22"/>
      <c r="J138" s="22"/>
      <c r="K138" s="22"/>
      <c r="L138" s="18">
        <f t="shared" si="3"/>
        <v>0</v>
      </c>
    </row>
    <row r="139" spans="2:12" ht="20.100000000000001" customHeight="1" x14ac:dyDescent="0.25">
      <c r="B139" s="20">
        <v>116</v>
      </c>
      <c r="C139" s="23"/>
      <c r="D139" s="23"/>
      <c r="E139" s="23"/>
      <c r="F139" s="23"/>
      <c r="G139" s="19" t="str">
        <f t="shared" si="2"/>
        <v>Longitud</v>
      </c>
      <c r="H139" s="22"/>
      <c r="I139" s="22"/>
      <c r="J139" s="22"/>
      <c r="K139" s="22"/>
      <c r="L139" s="18">
        <f t="shared" si="3"/>
        <v>0</v>
      </c>
    </row>
    <row r="140" spans="2:12" ht="20.100000000000001" customHeight="1" x14ac:dyDescent="0.25">
      <c r="B140" s="20">
        <v>117</v>
      </c>
      <c r="C140" s="23"/>
      <c r="D140" s="23"/>
      <c r="E140" s="23"/>
      <c r="F140" s="23"/>
      <c r="G140" s="19" t="str">
        <f t="shared" si="2"/>
        <v>Longitud</v>
      </c>
      <c r="H140" s="22"/>
      <c r="I140" s="22"/>
      <c r="J140" s="22"/>
      <c r="K140" s="22"/>
      <c r="L140" s="18">
        <f t="shared" si="3"/>
        <v>0</v>
      </c>
    </row>
    <row r="141" spans="2:12" ht="20.100000000000001" customHeight="1" x14ac:dyDescent="0.25">
      <c r="B141" s="20">
        <v>118</v>
      </c>
      <c r="C141" s="23"/>
      <c r="D141" s="23"/>
      <c r="E141" s="23"/>
      <c r="F141" s="23"/>
      <c r="G141" s="19" t="str">
        <f t="shared" si="2"/>
        <v>Longitud</v>
      </c>
      <c r="H141" s="22"/>
      <c r="I141" s="22"/>
      <c r="J141" s="22"/>
      <c r="K141" s="22"/>
      <c r="L141" s="18">
        <f t="shared" si="3"/>
        <v>0</v>
      </c>
    </row>
    <row r="142" spans="2:12" ht="20.100000000000001" customHeight="1" x14ac:dyDescent="0.25">
      <c r="B142" s="20">
        <v>119</v>
      </c>
      <c r="C142" s="23"/>
      <c r="D142" s="23"/>
      <c r="E142" s="23"/>
      <c r="F142" s="23"/>
      <c r="G142" s="19" t="str">
        <f t="shared" si="2"/>
        <v>Longitud</v>
      </c>
      <c r="H142" s="22"/>
      <c r="I142" s="22"/>
      <c r="J142" s="22"/>
      <c r="K142" s="22"/>
      <c r="L142" s="18">
        <f t="shared" si="3"/>
        <v>0</v>
      </c>
    </row>
    <row r="143" spans="2:12" ht="20.100000000000001" customHeight="1" x14ac:dyDescent="0.25">
      <c r="B143" s="20">
        <v>120</v>
      </c>
      <c r="C143" s="23"/>
      <c r="D143" s="23"/>
      <c r="E143" s="23"/>
      <c r="F143" s="23"/>
      <c r="G143" s="19" t="str">
        <f t="shared" si="2"/>
        <v>Longitud</v>
      </c>
      <c r="H143" s="22"/>
      <c r="I143" s="22"/>
      <c r="J143" s="22"/>
      <c r="K143" s="22"/>
      <c r="L143" s="18">
        <f t="shared" si="3"/>
        <v>0</v>
      </c>
    </row>
    <row r="144" spans="2:12" ht="20.100000000000001" customHeight="1" x14ac:dyDescent="0.25">
      <c r="B144" s="20">
        <v>121</v>
      </c>
      <c r="C144" s="23"/>
      <c r="D144" s="23"/>
      <c r="E144" s="23"/>
      <c r="F144" s="23"/>
      <c r="G144" s="19" t="str">
        <f t="shared" si="2"/>
        <v>Longitud</v>
      </c>
      <c r="H144" s="22"/>
      <c r="I144" s="22"/>
      <c r="J144" s="22"/>
      <c r="K144" s="22"/>
      <c r="L144" s="18">
        <f t="shared" si="3"/>
        <v>0</v>
      </c>
    </row>
    <row r="145" spans="2:12" ht="20.100000000000001" customHeight="1" x14ac:dyDescent="0.25">
      <c r="B145" s="20">
        <v>122</v>
      </c>
      <c r="C145" s="23"/>
      <c r="D145" s="23"/>
      <c r="E145" s="23"/>
      <c r="F145" s="23"/>
      <c r="G145" s="19" t="str">
        <f t="shared" si="2"/>
        <v>Longitud</v>
      </c>
      <c r="H145" s="22"/>
      <c r="I145" s="22"/>
      <c r="J145" s="22"/>
      <c r="K145" s="22"/>
      <c r="L145" s="18">
        <f t="shared" si="3"/>
        <v>0</v>
      </c>
    </row>
    <row r="146" spans="2:12" ht="20.100000000000001" customHeight="1" x14ac:dyDescent="0.25">
      <c r="B146" s="20">
        <v>123</v>
      </c>
      <c r="C146" s="23"/>
      <c r="D146" s="23"/>
      <c r="E146" s="23"/>
      <c r="F146" s="23"/>
      <c r="G146" s="19" t="str">
        <f t="shared" si="2"/>
        <v>Longitud</v>
      </c>
      <c r="H146" s="22"/>
      <c r="I146" s="22"/>
      <c r="J146" s="22"/>
      <c r="K146" s="22"/>
      <c r="L146" s="18">
        <f t="shared" si="3"/>
        <v>0</v>
      </c>
    </row>
    <row r="147" spans="2:12" ht="20.100000000000001" customHeight="1" x14ac:dyDescent="0.25">
      <c r="B147" s="20">
        <v>124</v>
      </c>
      <c r="C147" s="23"/>
      <c r="D147" s="23"/>
      <c r="E147" s="23"/>
      <c r="F147" s="23"/>
      <c r="G147" s="19" t="str">
        <f t="shared" si="2"/>
        <v>Longitud</v>
      </c>
      <c r="H147" s="22"/>
      <c r="I147" s="22"/>
      <c r="J147" s="22"/>
      <c r="K147" s="22"/>
      <c r="L147" s="18">
        <f t="shared" si="3"/>
        <v>0</v>
      </c>
    </row>
    <row r="148" spans="2:12" ht="20.100000000000001" customHeight="1" x14ac:dyDescent="0.25">
      <c r="B148" s="20">
        <v>125</v>
      </c>
      <c r="C148" s="23"/>
      <c r="D148" s="23"/>
      <c r="E148" s="23"/>
      <c r="F148" s="23"/>
      <c r="G148" s="19" t="str">
        <f t="shared" si="2"/>
        <v>Longitud</v>
      </c>
      <c r="H148" s="22"/>
      <c r="I148" s="22"/>
      <c r="J148" s="22"/>
      <c r="K148" s="22"/>
      <c r="L148" s="18">
        <f t="shared" si="3"/>
        <v>0</v>
      </c>
    </row>
    <row r="149" spans="2:12" ht="20.100000000000001" customHeight="1" x14ac:dyDescent="0.25">
      <c r="B149" s="20">
        <v>126</v>
      </c>
      <c r="C149" s="23"/>
      <c r="D149" s="23"/>
      <c r="E149" s="23"/>
      <c r="F149" s="23"/>
      <c r="G149" s="19" t="str">
        <f t="shared" si="2"/>
        <v>Longitud</v>
      </c>
      <c r="H149" s="22"/>
      <c r="I149" s="22"/>
      <c r="J149" s="22"/>
      <c r="K149" s="22"/>
      <c r="L149" s="18">
        <f t="shared" si="3"/>
        <v>0</v>
      </c>
    </row>
    <row r="150" spans="2:12" ht="20.100000000000001" customHeight="1" x14ac:dyDescent="0.25">
      <c r="B150" s="20">
        <v>127</v>
      </c>
      <c r="C150" s="23"/>
      <c r="D150" s="23"/>
      <c r="E150" s="23"/>
      <c r="F150" s="23"/>
      <c r="G150" s="19" t="str">
        <f t="shared" si="2"/>
        <v>Longitud</v>
      </c>
      <c r="H150" s="22"/>
      <c r="I150" s="22"/>
      <c r="J150" s="22"/>
      <c r="K150" s="22"/>
      <c r="L150" s="18">
        <f t="shared" si="3"/>
        <v>0</v>
      </c>
    </row>
    <row r="151" spans="2:12" ht="20.100000000000001" customHeight="1" x14ac:dyDescent="0.25">
      <c r="B151" s="20">
        <v>128</v>
      </c>
      <c r="C151" s="23"/>
      <c r="D151" s="23"/>
      <c r="E151" s="23"/>
      <c r="F151" s="23"/>
      <c r="G151" s="19" t="str">
        <f t="shared" si="2"/>
        <v>Longitud</v>
      </c>
      <c r="H151" s="22"/>
      <c r="I151" s="22"/>
      <c r="J151" s="22"/>
      <c r="K151" s="22"/>
      <c r="L151" s="18">
        <f t="shared" si="3"/>
        <v>0</v>
      </c>
    </row>
    <row r="152" spans="2:12" ht="20.100000000000001" customHeight="1" x14ac:dyDescent="0.25">
      <c r="B152" s="20">
        <v>129</v>
      </c>
      <c r="C152" s="23"/>
      <c r="D152" s="23"/>
      <c r="E152" s="23"/>
      <c r="F152" s="23"/>
      <c r="G152" s="19" t="str">
        <f t="shared" ref="G152:G173" si="4">$E$19</f>
        <v>Longitud</v>
      </c>
      <c r="H152" s="22"/>
      <c r="I152" s="22"/>
      <c r="J152" s="22"/>
      <c r="K152" s="22"/>
      <c r="L152" s="18">
        <f t="shared" ref="L152:L173" si="5">((((D152+40)*F152*(IF(I152&gt;0.5,1,0)+IF(K152&gt;0.5,1,0))))+((E152+40)*F152*(IF(H152&gt;0.5,1,0)+IF(J152&gt;0.5,1,0))))/1000</f>
        <v>0</v>
      </c>
    </row>
    <row r="153" spans="2:12" ht="20.100000000000001" customHeight="1" x14ac:dyDescent="0.25">
      <c r="B153" s="20">
        <v>130</v>
      </c>
      <c r="C153" s="23"/>
      <c r="D153" s="23"/>
      <c r="E153" s="23"/>
      <c r="F153" s="23"/>
      <c r="G153" s="19" t="str">
        <f t="shared" si="4"/>
        <v>Longitud</v>
      </c>
      <c r="H153" s="22"/>
      <c r="I153" s="22"/>
      <c r="J153" s="22"/>
      <c r="K153" s="22"/>
      <c r="L153" s="18">
        <f t="shared" si="5"/>
        <v>0</v>
      </c>
    </row>
    <row r="154" spans="2:12" ht="20.100000000000001" customHeight="1" x14ac:dyDescent="0.25">
      <c r="B154" s="20">
        <v>131</v>
      </c>
      <c r="C154" s="23"/>
      <c r="D154" s="23"/>
      <c r="E154" s="23"/>
      <c r="F154" s="23"/>
      <c r="G154" s="19" t="str">
        <f t="shared" si="4"/>
        <v>Longitud</v>
      </c>
      <c r="H154" s="22"/>
      <c r="I154" s="22"/>
      <c r="J154" s="22"/>
      <c r="K154" s="22"/>
      <c r="L154" s="18">
        <f t="shared" si="5"/>
        <v>0</v>
      </c>
    </row>
    <row r="155" spans="2:12" ht="20.100000000000001" customHeight="1" x14ac:dyDescent="0.25">
      <c r="B155" s="20">
        <v>132</v>
      </c>
      <c r="C155" s="23"/>
      <c r="D155" s="23"/>
      <c r="E155" s="23"/>
      <c r="F155" s="23"/>
      <c r="G155" s="19" t="str">
        <f t="shared" si="4"/>
        <v>Longitud</v>
      </c>
      <c r="H155" s="22"/>
      <c r="I155" s="22"/>
      <c r="J155" s="22"/>
      <c r="K155" s="22"/>
      <c r="L155" s="18">
        <f t="shared" si="5"/>
        <v>0</v>
      </c>
    </row>
    <row r="156" spans="2:12" ht="20.100000000000001" customHeight="1" x14ac:dyDescent="0.25">
      <c r="B156" s="20">
        <v>133</v>
      </c>
      <c r="C156" s="23"/>
      <c r="D156" s="23"/>
      <c r="E156" s="23"/>
      <c r="F156" s="23"/>
      <c r="G156" s="19" t="str">
        <f t="shared" si="4"/>
        <v>Longitud</v>
      </c>
      <c r="H156" s="22"/>
      <c r="I156" s="22"/>
      <c r="J156" s="22"/>
      <c r="K156" s="22"/>
      <c r="L156" s="18">
        <f t="shared" si="5"/>
        <v>0</v>
      </c>
    </row>
    <row r="157" spans="2:12" ht="20.100000000000001" customHeight="1" x14ac:dyDescent="0.25">
      <c r="B157" s="20">
        <v>134</v>
      </c>
      <c r="C157" s="23"/>
      <c r="D157" s="23"/>
      <c r="E157" s="23"/>
      <c r="F157" s="23"/>
      <c r="G157" s="19" t="str">
        <f t="shared" si="4"/>
        <v>Longitud</v>
      </c>
      <c r="H157" s="22"/>
      <c r="I157" s="22"/>
      <c r="J157" s="22"/>
      <c r="K157" s="22"/>
      <c r="L157" s="18">
        <f t="shared" si="5"/>
        <v>0</v>
      </c>
    </row>
    <row r="158" spans="2:12" ht="20.100000000000001" customHeight="1" x14ac:dyDescent="0.25">
      <c r="B158" s="20">
        <v>135</v>
      </c>
      <c r="C158" s="23"/>
      <c r="D158" s="23"/>
      <c r="E158" s="23"/>
      <c r="F158" s="23"/>
      <c r="G158" s="19" t="str">
        <f t="shared" si="4"/>
        <v>Longitud</v>
      </c>
      <c r="H158" s="22"/>
      <c r="I158" s="22"/>
      <c r="J158" s="22"/>
      <c r="K158" s="22"/>
      <c r="L158" s="18">
        <f t="shared" si="5"/>
        <v>0</v>
      </c>
    </row>
    <row r="159" spans="2:12" ht="20.100000000000001" customHeight="1" x14ac:dyDescent="0.25">
      <c r="B159" s="20">
        <v>136</v>
      </c>
      <c r="C159" s="23"/>
      <c r="D159" s="23"/>
      <c r="E159" s="23"/>
      <c r="F159" s="23"/>
      <c r="G159" s="19" t="str">
        <f t="shared" si="4"/>
        <v>Longitud</v>
      </c>
      <c r="H159" s="22"/>
      <c r="I159" s="22"/>
      <c r="J159" s="22"/>
      <c r="K159" s="22"/>
      <c r="L159" s="18">
        <f t="shared" si="5"/>
        <v>0</v>
      </c>
    </row>
    <row r="160" spans="2:12" ht="20.100000000000001" customHeight="1" x14ac:dyDescent="0.25">
      <c r="B160" s="20">
        <v>137</v>
      </c>
      <c r="C160" s="23"/>
      <c r="D160" s="23"/>
      <c r="E160" s="23"/>
      <c r="F160" s="23"/>
      <c r="G160" s="19" t="str">
        <f t="shared" si="4"/>
        <v>Longitud</v>
      </c>
      <c r="H160" s="22"/>
      <c r="I160" s="22"/>
      <c r="J160" s="22"/>
      <c r="K160" s="22"/>
      <c r="L160" s="18">
        <f t="shared" si="5"/>
        <v>0</v>
      </c>
    </row>
    <row r="161" spans="2:12" ht="20.100000000000001" customHeight="1" x14ac:dyDescent="0.25">
      <c r="B161" s="20">
        <v>138</v>
      </c>
      <c r="C161" s="23"/>
      <c r="D161" s="23"/>
      <c r="E161" s="23"/>
      <c r="F161" s="23"/>
      <c r="G161" s="19" t="str">
        <f t="shared" si="4"/>
        <v>Longitud</v>
      </c>
      <c r="H161" s="22"/>
      <c r="I161" s="22"/>
      <c r="J161" s="22"/>
      <c r="K161" s="22"/>
      <c r="L161" s="18">
        <f t="shared" si="5"/>
        <v>0</v>
      </c>
    </row>
    <row r="162" spans="2:12" ht="20.100000000000001" customHeight="1" x14ac:dyDescent="0.25">
      <c r="B162" s="20">
        <v>139</v>
      </c>
      <c r="C162" s="23"/>
      <c r="D162" s="23"/>
      <c r="E162" s="23"/>
      <c r="F162" s="23"/>
      <c r="G162" s="19" t="str">
        <f t="shared" si="4"/>
        <v>Longitud</v>
      </c>
      <c r="H162" s="22"/>
      <c r="I162" s="22"/>
      <c r="J162" s="22"/>
      <c r="K162" s="22"/>
      <c r="L162" s="18">
        <f t="shared" si="5"/>
        <v>0</v>
      </c>
    </row>
    <row r="163" spans="2:12" ht="20.100000000000001" customHeight="1" x14ac:dyDescent="0.25">
      <c r="B163" s="20">
        <v>140</v>
      </c>
      <c r="C163" s="23"/>
      <c r="D163" s="23"/>
      <c r="E163" s="23"/>
      <c r="F163" s="23"/>
      <c r="G163" s="19" t="str">
        <f t="shared" si="4"/>
        <v>Longitud</v>
      </c>
      <c r="H163" s="22"/>
      <c r="I163" s="22"/>
      <c r="J163" s="22"/>
      <c r="K163" s="22"/>
      <c r="L163" s="18">
        <f t="shared" si="5"/>
        <v>0</v>
      </c>
    </row>
    <row r="164" spans="2:12" ht="20.100000000000001" customHeight="1" x14ac:dyDescent="0.25">
      <c r="B164" s="20">
        <v>141</v>
      </c>
      <c r="C164" s="23"/>
      <c r="D164" s="23"/>
      <c r="E164" s="23"/>
      <c r="F164" s="23"/>
      <c r="G164" s="19" t="str">
        <f t="shared" si="4"/>
        <v>Longitud</v>
      </c>
      <c r="H164" s="22"/>
      <c r="I164" s="22"/>
      <c r="J164" s="22"/>
      <c r="K164" s="22"/>
      <c r="L164" s="18">
        <f t="shared" si="5"/>
        <v>0</v>
      </c>
    </row>
    <row r="165" spans="2:12" ht="20.100000000000001" customHeight="1" x14ac:dyDescent="0.25">
      <c r="B165" s="20">
        <v>142</v>
      </c>
      <c r="C165" s="23"/>
      <c r="D165" s="23"/>
      <c r="E165" s="23"/>
      <c r="F165" s="23"/>
      <c r="G165" s="19" t="str">
        <f t="shared" si="4"/>
        <v>Longitud</v>
      </c>
      <c r="H165" s="22"/>
      <c r="I165" s="22"/>
      <c r="J165" s="22"/>
      <c r="K165" s="22"/>
      <c r="L165" s="18">
        <f t="shared" si="5"/>
        <v>0</v>
      </c>
    </row>
    <row r="166" spans="2:12" ht="20.100000000000001" customHeight="1" x14ac:dyDescent="0.25">
      <c r="B166" s="20">
        <v>143</v>
      </c>
      <c r="C166" s="23"/>
      <c r="D166" s="23"/>
      <c r="E166" s="23"/>
      <c r="F166" s="23"/>
      <c r="G166" s="19" t="str">
        <f t="shared" si="4"/>
        <v>Longitud</v>
      </c>
      <c r="H166" s="22"/>
      <c r="I166" s="22"/>
      <c r="J166" s="22"/>
      <c r="K166" s="22"/>
      <c r="L166" s="18">
        <f t="shared" si="5"/>
        <v>0</v>
      </c>
    </row>
    <row r="167" spans="2:12" ht="20.100000000000001" customHeight="1" x14ac:dyDescent="0.25">
      <c r="B167" s="20">
        <v>144</v>
      </c>
      <c r="C167" s="23"/>
      <c r="D167" s="23"/>
      <c r="E167" s="23"/>
      <c r="F167" s="23"/>
      <c r="G167" s="19" t="str">
        <f t="shared" si="4"/>
        <v>Longitud</v>
      </c>
      <c r="H167" s="22"/>
      <c r="I167" s="22"/>
      <c r="J167" s="22"/>
      <c r="K167" s="22"/>
      <c r="L167" s="18">
        <f t="shared" si="5"/>
        <v>0</v>
      </c>
    </row>
    <row r="168" spans="2:12" ht="20.100000000000001" customHeight="1" x14ac:dyDescent="0.25">
      <c r="B168" s="20">
        <v>145</v>
      </c>
      <c r="C168" s="23"/>
      <c r="D168" s="23"/>
      <c r="E168" s="23"/>
      <c r="F168" s="23"/>
      <c r="G168" s="19" t="str">
        <f t="shared" si="4"/>
        <v>Longitud</v>
      </c>
      <c r="H168" s="22"/>
      <c r="I168" s="22"/>
      <c r="J168" s="22"/>
      <c r="K168" s="22"/>
      <c r="L168" s="18">
        <f t="shared" si="5"/>
        <v>0</v>
      </c>
    </row>
    <row r="169" spans="2:12" ht="20.100000000000001" customHeight="1" x14ac:dyDescent="0.25">
      <c r="B169" s="20">
        <v>146</v>
      </c>
      <c r="C169" s="23"/>
      <c r="D169" s="23"/>
      <c r="E169" s="23"/>
      <c r="F169" s="23"/>
      <c r="G169" s="19" t="str">
        <f t="shared" si="4"/>
        <v>Longitud</v>
      </c>
      <c r="H169" s="22"/>
      <c r="I169" s="22"/>
      <c r="J169" s="22"/>
      <c r="K169" s="22"/>
      <c r="L169" s="18">
        <f t="shared" si="5"/>
        <v>0</v>
      </c>
    </row>
    <row r="170" spans="2:12" ht="20.100000000000001" customHeight="1" x14ac:dyDescent="0.25">
      <c r="B170" s="20">
        <v>147</v>
      </c>
      <c r="C170" s="23"/>
      <c r="D170" s="23"/>
      <c r="E170" s="23"/>
      <c r="F170" s="23"/>
      <c r="G170" s="19" t="str">
        <f t="shared" si="4"/>
        <v>Longitud</v>
      </c>
      <c r="H170" s="22"/>
      <c r="I170" s="22"/>
      <c r="J170" s="22"/>
      <c r="K170" s="22"/>
      <c r="L170" s="18">
        <f t="shared" si="5"/>
        <v>0</v>
      </c>
    </row>
    <row r="171" spans="2:12" ht="20.100000000000001" customHeight="1" x14ac:dyDescent="0.25">
      <c r="B171" s="20">
        <v>148</v>
      </c>
      <c r="C171" s="23"/>
      <c r="D171" s="23"/>
      <c r="E171" s="23"/>
      <c r="F171" s="23"/>
      <c r="G171" s="19" t="str">
        <f t="shared" si="4"/>
        <v>Longitud</v>
      </c>
      <c r="H171" s="22"/>
      <c r="I171" s="22"/>
      <c r="J171" s="22"/>
      <c r="K171" s="22"/>
      <c r="L171" s="18">
        <f t="shared" si="5"/>
        <v>0</v>
      </c>
    </row>
    <row r="172" spans="2:12" ht="20.100000000000001" customHeight="1" x14ac:dyDescent="0.25">
      <c r="B172" s="20">
        <v>149</v>
      </c>
      <c r="C172" s="23"/>
      <c r="D172" s="23"/>
      <c r="E172" s="23"/>
      <c r="F172" s="23"/>
      <c r="G172" s="19" t="str">
        <f t="shared" si="4"/>
        <v>Longitud</v>
      </c>
      <c r="H172" s="22"/>
      <c r="I172" s="22"/>
      <c r="J172" s="22"/>
      <c r="K172" s="22"/>
      <c r="L172" s="18">
        <f t="shared" si="5"/>
        <v>0</v>
      </c>
    </row>
    <row r="173" spans="2:12" ht="20.100000000000001" customHeight="1" x14ac:dyDescent="0.25">
      <c r="B173" s="20">
        <v>150</v>
      </c>
      <c r="C173" s="23"/>
      <c r="D173" s="23"/>
      <c r="E173" s="23"/>
      <c r="F173" s="23"/>
      <c r="G173" s="19" t="str">
        <f t="shared" si="4"/>
        <v>Longitud</v>
      </c>
      <c r="H173" s="22"/>
      <c r="I173" s="22"/>
      <c r="J173" s="22"/>
      <c r="K173" s="22"/>
      <c r="L173" s="18">
        <f t="shared" si="5"/>
        <v>0</v>
      </c>
    </row>
    <row r="174" spans="2:12" s="41" customFormat="1" x14ac:dyDescent="0.25"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 spans="2:12" s="41" customFormat="1" x14ac:dyDescent="0.25"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 spans="2:12" s="41" customFormat="1" x14ac:dyDescent="0.25"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2:11" s="41" customFormat="1" x14ac:dyDescent="0.25"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 spans="2:11" s="41" customForma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 spans="2:11" s="41" customFormat="1" x14ac:dyDescent="0.25"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 spans="2:11" s="41" customFormat="1" x14ac:dyDescent="0.25"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2:11" s="41" customFormat="1" x14ac:dyDescent="0.25"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 spans="2:11" s="41" customFormat="1" x14ac:dyDescent="0.25"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2:11" s="41" customFormat="1" x14ac:dyDescent="0.25"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 spans="2:11" s="41" customFormat="1" x14ac:dyDescent="0.25"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2:11" s="41" customFormat="1" x14ac:dyDescent="0.25"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 spans="2:11" s="41" customFormat="1" x14ac:dyDescent="0.25"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2:11" s="41" customFormat="1" x14ac:dyDescent="0.25"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 spans="2:11" s="41" customFormat="1" x14ac:dyDescent="0.25"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 spans="2:11" s="41" customFormat="1" x14ac:dyDescent="0.25"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2:11" s="41" customFormat="1" x14ac:dyDescent="0.25"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 spans="2:11" s="41" customFormat="1" x14ac:dyDescent="0.25"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 spans="2:11" s="41" customFormat="1" x14ac:dyDescent="0.25"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 spans="2:11" s="41" customFormat="1" x14ac:dyDescent="0.25"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 spans="2:11" s="41" customFormat="1" x14ac:dyDescent="0.25"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 spans="2:11" s="41" customFormat="1" x14ac:dyDescent="0.25"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 spans="2:11" s="41" customFormat="1" x14ac:dyDescent="0.25"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2:11" s="41" customFormat="1" x14ac:dyDescent="0.25"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 spans="2:11" s="41" customFormat="1" x14ac:dyDescent="0.25"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2:11" s="41" customFormat="1" x14ac:dyDescent="0.25"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 spans="2:11" s="41" customFormat="1" x14ac:dyDescent="0.25"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 spans="2:11" s="41" customFormat="1" x14ac:dyDescent="0.25"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 spans="2:11" s="41" customFormat="1" x14ac:dyDescent="0.25"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2:11" s="41" customFormat="1" x14ac:dyDescent="0.25"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 spans="2:11" s="41" customFormat="1" x14ac:dyDescent="0.25"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 spans="2:11" s="41" customFormat="1" x14ac:dyDescent="0.25"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 spans="2:11" s="41" customFormat="1" x14ac:dyDescent="0.25"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2:11" s="41" customFormat="1" x14ac:dyDescent="0.25"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spans="2:11" s="41" customFormat="1" x14ac:dyDescent="0.25"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2:11" s="41" customFormat="1" x14ac:dyDescent="0.25"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2:11" s="41" customFormat="1" x14ac:dyDescent="0.25"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 spans="2:11" s="41" customFormat="1" x14ac:dyDescent="0.25"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 spans="2:11" s="41" customFormat="1" x14ac:dyDescent="0.25"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2:11" s="41" customFormat="1" x14ac:dyDescent="0.25"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 spans="2:11" s="41" customFormat="1" x14ac:dyDescent="0.25"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 spans="2:11" s="41" customFormat="1" x14ac:dyDescent="0.25"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2:11" s="41" customFormat="1" x14ac:dyDescent="0.25"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2:11" s="41" customFormat="1" x14ac:dyDescent="0.25"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 spans="2:11" s="41" customFormat="1" x14ac:dyDescent="0.25"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2:11" s="41" customFormat="1" x14ac:dyDescent="0.25"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 spans="2:11" s="41" customFormat="1" x14ac:dyDescent="0.25"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 spans="2:11" s="41" customFormat="1" x14ac:dyDescent="0.25"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spans="2:11" s="41" customFormat="1" x14ac:dyDescent="0.25"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spans="2:11" s="41" customFormat="1" x14ac:dyDescent="0.25"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spans="2:11" s="41" customFormat="1" x14ac:dyDescent="0.25"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spans="2:11" s="41" customFormat="1" x14ac:dyDescent="0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spans="2:11" s="41" customFormat="1" x14ac:dyDescent="0.25"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spans="2:11" s="41" customFormat="1" x14ac:dyDescent="0.25"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spans="2:11" s="41" customFormat="1" x14ac:dyDescent="0.25"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spans="2:11" s="41" customFormat="1" x14ac:dyDescent="0.25"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spans="2:11" s="41" customFormat="1" x14ac:dyDescent="0.25"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spans="2:11" s="41" customFormat="1" x14ac:dyDescent="0.25"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spans="2:11" s="41" customFormat="1" x14ac:dyDescent="0.25"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spans="2:11" s="41" customFormat="1" x14ac:dyDescent="0.25"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spans="2:11" s="41" customFormat="1" x14ac:dyDescent="0.25"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spans="2:11" s="41" customFormat="1" x14ac:dyDescent="0.25"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spans="2:11" s="41" customFormat="1" x14ac:dyDescent="0.25"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2:11" s="41" customFormat="1" x14ac:dyDescent="0.25"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spans="2:11" s="41" customFormat="1" x14ac:dyDescent="0.25"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spans="2:11" s="41" customFormat="1" x14ac:dyDescent="0.25"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2:11" s="41" customFormat="1" x14ac:dyDescent="0.25"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spans="2:11" s="41" customFormat="1" x14ac:dyDescent="0.25"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spans="2:11" s="41" customFormat="1" x14ac:dyDescent="0.25"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spans="2:11" s="41" customFormat="1" x14ac:dyDescent="0.25"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spans="2:11" s="41" customFormat="1" x14ac:dyDescent="0.25"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spans="2:11" s="41" customFormat="1" x14ac:dyDescent="0.25"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spans="2:11" s="41" customFormat="1" x14ac:dyDescent="0.25"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spans="2:11" s="41" customFormat="1" x14ac:dyDescent="0.25"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2:11" s="41" customFormat="1" x14ac:dyDescent="0.25"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spans="2:11" s="41" customFormat="1" x14ac:dyDescent="0.25"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spans="2:11" s="41" customFormat="1" x14ac:dyDescent="0.25"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spans="2:11" s="41" customFormat="1" x14ac:dyDescent="0.25"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spans="2:11" s="41" customFormat="1" x14ac:dyDescent="0.25"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spans="2:11" s="41" customFormat="1" x14ac:dyDescent="0.25"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spans="2:11" s="41" customFormat="1" x14ac:dyDescent="0.25"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spans="2:11" s="41" customFormat="1" x14ac:dyDescent="0.25"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spans="2:11" s="41" customFormat="1" x14ac:dyDescent="0.25"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spans="2:11" s="41" customFormat="1" x14ac:dyDescent="0.25"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2:11" s="41" customFormat="1" x14ac:dyDescent="0.25"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spans="2:11" s="41" customFormat="1" x14ac:dyDescent="0.25"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2:11" s="41" customFormat="1" x14ac:dyDescent="0.25"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spans="2:11" s="41" customFormat="1" x14ac:dyDescent="0.25"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spans="2:11" s="41" customFormat="1" x14ac:dyDescent="0.25"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spans="2:11" s="41" customFormat="1" x14ac:dyDescent="0.25"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spans="2:11" s="41" customFormat="1" x14ac:dyDescent="0.25"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spans="2:11" s="41" customFormat="1" x14ac:dyDescent="0.25"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spans="2:11" s="41" customFormat="1" x14ac:dyDescent="0.25"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spans="2:11" s="41" customFormat="1" x14ac:dyDescent="0.25"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2:11" s="41" customFormat="1" x14ac:dyDescent="0.25"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spans="2:11" s="41" customFormat="1" x14ac:dyDescent="0.25"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spans="2:11" s="41" customFormat="1" x14ac:dyDescent="0.25"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spans="2:11" s="41" customFormat="1" x14ac:dyDescent="0.25"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spans="2:11" s="41" customFormat="1" x14ac:dyDescent="0.25"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spans="2:11" s="41" customFormat="1" x14ac:dyDescent="0.25"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spans="2:11" s="41" customFormat="1" x14ac:dyDescent="0.25"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2:11" s="41" customFormat="1" x14ac:dyDescent="0.25"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spans="2:11" s="41" customFormat="1" x14ac:dyDescent="0.25"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spans="2:11" s="41" customFormat="1" x14ac:dyDescent="0.25"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2:11" s="41" customFormat="1" x14ac:dyDescent="0.25"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spans="2:11" s="41" customFormat="1" x14ac:dyDescent="0.25"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spans="2:11" s="41" customFormat="1" x14ac:dyDescent="0.25"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spans="2:11" s="41" customFormat="1" x14ac:dyDescent="0.25"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spans="2:11" s="41" customFormat="1" x14ac:dyDescent="0.25"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spans="2:11" s="41" customFormat="1" x14ac:dyDescent="0.25"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spans="2:11" s="41" customFormat="1" x14ac:dyDescent="0.25"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spans="2:11" s="41" customFormat="1" x14ac:dyDescent="0.25"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spans="2:11" s="41" customFormat="1" x14ac:dyDescent="0.25"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spans="2:11" s="41" customFormat="1" x14ac:dyDescent="0.25"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spans="2:11" s="41" customFormat="1" x14ac:dyDescent="0.25"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spans="2:11" s="41" customFormat="1" x14ac:dyDescent="0.25"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spans="2:11" s="41" customFormat="1" x14ac:dyDescent="0.25"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spans="2:11" s="41" customFormat="1" x14ac:dyDescent="0.25"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spans="2:11" s="41" customFormat="1" x14ac:dyDescent="0.25"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spans="2:11" s="41" customFormat="1" x14ac:dyDescent="0.25"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spans="2:11" s="41" customFormat="1" x14ac:dyDescent="0.25"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spans="2:11" s="41" customFormat="1" x14ac:dyDescent="0.25"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spans="2:11" s="41" customFormat="1" x14ac:dyDescent="0.25"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spans="2:11" s="41" customFormat="1" x14ac:dyDescent="0.25"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spans="2:11" s="41" customFormat="1" x14ac:dyDescent="0.25"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spans="2:11" s="41" customFormat="1" x14ac:dyDescent="0.25"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spans="2:11" s="41" customFormat="1" x14ac:dyDescent="0.25"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spans="2:11" s="41" customFormat="1" x14ac:dyDescent="0.25"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spans="2:11" s="41" customFormat="1" x14ac:dyDescent="0.25"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spans="2:11" s="41" customFormat="1" x14ac:dyDescent="0.25"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spans="2:11" s="41" customFormat="1" x14ac:dyDescent="0.25"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spans="2:11" s="41" customFormat="1" x14ac:dyDescent="0.25"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spans="2:11" s="41" customFormat="1" x14ac:dyDescent="0.25"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spans="2:11" s="41" customFormat="1" x14ac:dyDescent="0.25"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2:11" s="41" customFormat="1" x14ac:dyDescent="0.25"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spans="2:11" s="41" customFormat="1" x14ac:dyDescent="0.25"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spans="2:11" s="41" customFormat="1" x14ac:dyDescent="0.25"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spans="2:11" s="41" customFormat="1" x14ac:dyDescent="0.25"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spans="2:11" s="41" customFormat="1" x14ac:dyDescent="0.25"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spans="2:11" s="41" customFormat="1" x14ac:dyDescent="0.25"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spans="2:11" s="41" customFormat="1" x14ac:dyDescent="0.25"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spans="2:11" s="41" customFormat="1" x14ac:dyDescent="0.25"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spans="2:11" s="41" customFormat="1" x14ac:dyDescent="0.25"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spans="2:11" s="41" customFormat="1" x14ac:dyDescent="0.25"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spans="2:11" s="41" customFormat="1" x14ac:dyDescent="0.25"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2:11" s="41" customFormat="1" x14ac:dyDescent="0.25"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spans="2:11" s="41" customFormat="1" x14ac:dyDescent="0.25"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spans="2:11" s="41" customFormat="1" x14ac:dyDescent="0.25"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spans="2:11" s="41" customFormat="1" x14ac:dyDescent="0.25"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spans="2:11" s="41" customFormat="1" x14ac:dyDescent="0.25"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spans="2:11" s="41" customFormat="1" x14ac:dyDescent="0.25"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spans="2:11" s="41" customFormat="1" x14ac:dyDescent="0.25"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spans="2:11" s="41" customFormat="1" x14ac:dyDescent="0.25"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spans="2:11" s="41" customFormat="1" x14ac:dyDescent="0.25"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spans="2:11" s="41" customFormat="1" x14ac:dyDescent="0.25"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2:11" s="41" customFormat="1" x14ac:dyDescent="0.25"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spans="2:11" s="41" customFormat="1" x14ac:dyDescent="0.25"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spans="2:11" s="41" customFormat="1" x14ac:dyDescent="0.25"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spans="2:11" s="41" customFormat="1" x14ac:dyDescent="0.25"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spans="2:11" s="41" customFormat="1" x14ac:dyDescent="0.25"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spans="2:11" s="41" customFormat="1" x14ac:dyDescent="0.25"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spans="2:11" s="41" customFormat="1" x14ac:dyDescent="0.25"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spans="2:11" s="41" customFormat="1" x14ac:dyDescent="0.25"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spans="2:11" s="41" customFormat="1" x14ac:dyDescent="0.25"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spans="2:11" s="41" customFormat="1" x14ac:dyDescent="0.25"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2:11" s="41" customFormat="1" x14ac:dyDescent="0.25"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spans="2:11" s="41" customFormat="1" x14ac:dyDescent="0.25"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s="41" customFormat="1" x14ac:dyDescent="0.25"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s="41" customFormat="1" x14ac:dyDescent="0.25"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s="41" customFormat="1" x14ac:dyDescent="0.25"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s="41" customFormat="1" x14ac:dyDescent="0.25"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s="41" customFormat="1" x14ac:dyDescent="0.25"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s="41" customFormat="1" x14ac:dyDescent="0.25"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s="41" customFormat="1" x14ac:dyDescent="0.25"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spans="2:11" s="41" customFormat="1" x14ac:dyDescent="0.25"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2:11" s="41" customFormat="1" x14ac:dyDescent="0.25"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s="41" customFormat="1" x14ac:dyDescent="0.25"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s="41" customFormat="1" x14ac:dyDescent="0.25"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s="41" customFormat="1" x14ac:dyDescent="0.25"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s="41" customFormat="1" x14ac:dyDescent="0.25"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s="41" customFormat="1" x14ac:dyDescent="0.25"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s="41" customFormat="1" x14ac:dyDescent="0.25"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s="41" customFormat="1" x14ac:dyDescent="0.25"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s="41" customFormat="1" x14ac:dyDescent="0.25"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s="41" customFormat="1" x14ac:dyDescent="0.25"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s="41" customFormat="1" x14ac:dyDescent="0.25"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s="41" customFormat="1" x14ac:dyDescent="0.25"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s="41" customFormat="1" x14ac:dyDescent="0.25"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s="41" customFormat="1" x14ac:dyDescent="0.25"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spans="2:11" s="41" customFormat="1" x14ac:dyDescent="0.25"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2:11" s="41" customFormat="1" x14ac:dyDescent="0.25"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s="41" customFormat="1" x14ac:dyDescent="0.25"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s="41" customFormat="1" x14ac:dyDescent="0.25"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s="41" customFormat="1" x14ac:dyDescent="0.25"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s="41" customFormat="1" x14ac:dyDescent="0.25"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s="41" customFormat="1" x14ac:dyDescent="0.25"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s="41" customFormat="1" x14ac:dyDescent="0.25"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s="41" customFormat="1" x14ac:dyDescent="0.25"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s="41" customFormat="1" x14ac:dyDescent="0.25"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spans="2:11" s="41" customFormat="1" x14ac:dyDescent="0.25"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spans="2:11" s="41" customFormat="1" x14ac:dyDescent="0.25"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s="41" customFormat="1" x14ac:dyDescent="0.25"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s="41" customFormat="1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s="41" customFormat="1" x14ac:dyDescent="0.25"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s="41" customFormat="1" x14ac:dyDescent="0.25"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s="41" customFormat="1" x14ac:dyDescent="0.25"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s="41" customFormat="1" x14ac:dyDescent="0.25"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s="41" customFormat="1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spans="2:11" s="41" customFormat="1" x14ac:dyDescent="0.25"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spans="2:11" s="41" customFormat="1" x14ac:dyDescent="0.25"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spans="2:11" s="41" customFormat="1" x14ac:dyDescent="0.25"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s="41" customFormat="1" x14ac:dyDescent="0.25"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s="41" customFormat="1" x14ac:dyDescent="0.25"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s="41" customFormat="1" x14ac:dyDescent="0.25"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s="41" customFormat="1" x14ac:dyDescent="0.25"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s="41" customFormat="1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s="41" customFormat="1" x14ac:dyDescent="0.25"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s="41" customFormat="1" x14ac:dyDescent="0.25"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s="41" customFormat="1" x14ac:dyDescent="0.25"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spans="2:11" s="41" customFormat="1" x14ac:dyDescent="0.25"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spans="2:11" s="41" customFormat="1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spans="2:11" s="41" customFormat="1" x14ac:dyDescent="0.25"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spans="2:11" s="41" customFormat="1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spans="2:11" s="41" customFormat="1" x14ac:dyDescent="0.25"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spans="2:11" s="41" customFormat="1" x14ac:dyDescent="0.25"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2:11" s="41" customFormat="1" x14ac:dyDescent="0.25"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2:11" s="41" customFormat="1" x14ac:dyDescent="0.25"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spans="2:11" s="41" customFormat="1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spans="2:11" s="41" customFormat="1" x14ac:dyDescent="0.25"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spans="2:11" s="41" customFormat="1" x14ac:dyDescent="0.25"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spans="2:11" s="41" customFormat="1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spans="2:11" s="41" customFormat="1" x14ac:dyDescent="0.25"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spans="2:11" s="41" customFormat="1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spans="2:11" s="41" customFormat="1" x14ac:dyDescent="0.25"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spans="2:11" s="41" customFormat="1" x14ac:dyDescent="0.25"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2:11" s="41" customFormat="1" x14ac:dyDescent="0.25"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2:11" s="41" customFormat="1" x14ac:dyDescent="0.25"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spans="2:11" s="41" customFormat="1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spans="2:11" s="41" customFormat="1" x14ac:dyDescent="0.25"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spans="2:11" s="41" customFormat="1" x14ac:dyDescent="0.25"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spans="2:11" s="41" customFormat="1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spans="2:11" s="41" customFormat="1" x14ac:dyDescent="0.25"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spans="2:11" s="41" customFormat="1" x14ac:dyDescent="0.25"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spans="2:11" s="41" customFormat="1" x14ac:dyDescent="0.25"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spans="2:11" s="41" customFormat="1" x14ac:dyDescent="0.25"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2:11" s="41" customFormat="1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2:11" s="41" customFormat="1" x14ac:dyDescent="0.25"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spans="2:11" s="41" customFormat="1" x14ac:dyDescent="0.25"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spans="2:11" s="41" customFormat="1" x14ac:dyDescent="0.25"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spans="2:11" s="41" customFormat="1" x14ac:dyDescent="0.25"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spans="2:11" s="41" customFormat="1" x14ac:dyDescent="0.25"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spans="2:11" s="41" customFormat="1" x14ac:dyDescent="0.25"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spans="2:11" s="41" customFormat="1" x14ac:dyDescent="0.25"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spans="2:11" s="41" customFormat="1" x14ac:dyDescent="0.25"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spans="2:11" s="41" customFormat="1" x14ac:dyDescent="0.25"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spans="2:11" s="41" customFormat="1" x14ac:dyDescent="0.25"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spans="2:11" s="41" customFormat="1" x14ac:dyDescent="0.25"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spans="2:11" s="41" customFormat="1" x14ac:dyDescent="0.25"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spans="2:11" s="41" customFormat="1" x14ac:dyDescent="0.25"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spans="2:11" s="41" customFormat="1" x14ac:dyDescent="0.25"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spans="2:11" s="41" customFormat="1" x14ac:dyDescent="0.25"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spans="2:11" s="41" customFormat="1" x14ac:dyDescent="0.25"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spans="2:11" s="41" customFormat="1" x14ac:dyDescent="0.25"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spans="2:11" s="41" customFormat="1" x14ac:dyDescent="0.25"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spans="2:11" s="41" customFormat="1" x14ac:dyDescent="0.25"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spans="2:11" s="41" customFormat="1" x14ac:dyDescent="0.25"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spans="2:11" s="41" customFormat="1" x14ac:dyDescent="0.25"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spans="2:11" s="41" customFormat="1" x14ac:dyDescent="0.25"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spans="2:11" s="41" customFormat="1" x14ac:dyDescent="0.25"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spans="2:11" s="41" customFormat="1" x14ac:dyDescent="0.25"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spans="2:11" s="41" customFormat="1" x14ac:dyDescent="0.25"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spans="2:11" s="41" customFormat="1" x14ac:dyDescent="0.25"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spans="2:11" s="41" customFormat="1" x14ac:dyDescent="0.25"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spans="2:11" s="41" customFormat="1" x14ac:dyDescent="0.25"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spans="2:11" s="41" customFormat="1" x14ac:dyDescent="0.25"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spans="2:11" s="41" customFormat="1" x14ac:dyDescent="0.25"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spans="2:11" s="41" customFormat="1" x14ac:dyDescent="0.25"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spans="2:11" s="41" customFormat="1" x14ac:dyDescent="0.25"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spans="2:11" s="41" customFormat="1" x14ac:dyDescent="0.25"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spans="2:11" s="41" customFormat="1" x14ac:dyDescent="0.25"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spans="2:11" s="41" customFormat="1" x14ac:dyDescent="0.25"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spans="2:11" s="41" customFormat="1" x14ac:dyDescent="0.25"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spans="2:11" s="41" customFormat="1" x14ac:dyDescent="0.25"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spans="2:11" s="41" customFormat="1" x14ac:dyDescent="0.25"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spans="2:11" s="41" customFormat="1" x14ac:dyDescent="0.25"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spans="2:11" s="41" customFormat="1" x14ac:dyDescent="0.25"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spans="2:11" s="41" customFormat="1" x14ac:dyDescent="0.25"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spans="2:11" s="41" customFormat="1" x14ac:dyDescent="0.25"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spans="2:11" s="41" customFormat="1" x14ac:dyDescent="0.25"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spans="2:11" s="41" customFormat="1" x14ac:dyDescent="0.25"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spans="2:11" s="41" customFormat="1" x14ac:dyDescent="0.25"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spans="2:11" s="41" customFormat="1" x14ac:dyDescent="0.25"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spans="2:11" s="41" customFormat="1" x14ac:dyDescent="0.25"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spans="2:11" s="41" customFormat="1" x14ac:dyDescent="0.25"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spans="2:11" s="41" customFormat="1" x14ac:dyDescent="0.25"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spans="2:11" s="41" customFormat="1" x14ac:dyDescent="0.25"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spans="2:11" s="41" customFormat="1" x14ac:dyDescent="0.25"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spans="2:11" s="41" customFormat="1" x14ac:dyDescent="0.25"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spans="2:11" s="41" customFormat="1" x14ac:dyDescent="0.25"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spans="2:11" s="41" customFormat="1" x14ac:dyDescent="0.25"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spans="2:11" s="41" customFormat="1" x14ac:dyDescent="0.25"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spans="2:11" s="41" customFormat="1" x14ac:dyDescent="0.25"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spans="2:11" s="41" customFormat="1" x14ac:dyDescent="0.25"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spans="2:11" s="41" customFormat="1" x14ac:dyDescent="0.25"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spans="2:11" s="41" customFormat="1" x14ac:dyDescent="0.25"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spans="2:11" s="41" customFormat="1" x14ac:dyDescent="0.25"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spans="2:11" s="41" customFormat="1" x14ac:dyDescent="0.25"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spans="2:11" s="41" customFormat="1" x14ac:dyDescent="0.25"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spans="2:11" s="41" customFormat="1" x14ac:dyDescent="0.25"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spans="2:11" s="41" customFormat="1" x14ac:dyDescent="0.25"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spans="2:11" s="41" customFormat="1" x14ac:dyDescent="0.25"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spans="2:11" s="41" customFormat="1" x14ac:dyDescent="0.25"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spans="2:11" s="41" customFormat="1" x14ac:dyDescent="0.25"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spans="2:11" s="41" customFormat="1" x14ac:dyDescent="0.25"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spans="2:11" s="41" customFormat="1" x14ac:dyDescent="0.25"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spans="2:11" s="41" customFormat="1" x14ac:dyDescent="0.25"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spans="2:11" s="41" customFormat="1" x14ac:dyDescent="0.25"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spans="2:11" s="41" customFormat="1" x14ac:dyDescent="0.25"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spans="2:11" s="41" customFormat="1" x14ac:dyDescent="0.25"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spans="2:11" s="41" customFormat="1" x14ac:dyDescent="0.25"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spans="2:11" s="41" customFormat="1" x14ac:dyDescent="0.25"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spans="2:11" s="41" customFormat="1" x14ac:dyDescent="0.25"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spans="2:11" s="41" customFormat="1" x14ac:dyDescent="0.25"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spans="2:11" s="41" customFormat="1" x14ac:dyDescent="0.25"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spans="2:11" s="41" customFormat="1" x14ac:dyDescent="0.25"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spans="2:11" s="41" customFormat="1" x14ac:dyDescent="0.25"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spans="2:11" s="41" customFormat="1" x14ac:dyDescent="0.25"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spans="2:11" s="41" customFormat="1" x14ac:dyDescent="0.25"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spans="2:11" s="41" customFormat="1" x14ac:dyDescent="0.25"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spans="2:11" s="41" customFormat="1" x14ac:dyDescent="0.25"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spans="2:11" s="41" customFormat="1" x14ac:dyDescent="0.25"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spans="2:11" s="41" customFormat="1" x14ac:dyDescent="0.25"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spans="2:11" s="41" customFormat="1" x14ac:dyDescent="0.25"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spans="2:11" s="41" customFormat="1" x14ac:dyDescent="0.25"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spans="2:11" s="41" customFormat="1" x14ac:dyDescent="0.25"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spans="2:11" s="41" customFormat="1" x14ac:dyDescent="0.25"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spans="2:11" s="41" customFormat="1" x14ac:dyDescent="0.25"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spans="2:11" s="41" customFormat="1" x14ac:dyDescent="0.25"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spans="2:11" s="41" customFormat="1" x14ac:dyDescent="0.25"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spans="2:11" s="41" customFormat="1" x14ac:dyDescent="0.25"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spans="2:11" s="41" customFormat="1" x14ac:dyDescent="0.25"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spans="2:11" s="41" customFormat="1" x14ac:dyDescent="0.25"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spans="2:11" s="41" customFormat="1" x14ac:dyDescent="0.25"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spans="2:11" s="41" customFormat="1" x14ac:dyDescent="0.25"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spans="2:11" s="41" customFormat="1" x14ac:dyDescent="0.25"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spans="2:11" s="41" customFormat="1" x14ac:dyDescent="0.25"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spans="2:11" s="41" customFormat="1" x14ac:dyDescent="0.25"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spans="2:11" s="41" customFormat="1" x14ac:dyDescent="0.25"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spans="2:11" s="41" customFormat="1" x14ac:dyDescent="0.25"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spans="2:11" s="41" customFormat="1" x14ac:dyDescent="0.25"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spans="2:11" s="41" customFormat="1" x14ac:dyDescent="0.25"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2:11" s="41" customFormat="1" x14ac:dyDescent="0.25"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spans="2:11" s="41" customFormat="1" x14ac:dyDescent="0.25"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spans="2:11" s="41" customFormat="1" x14ac:dyDescent="0.25"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spans="2:11" s="41" customFormat="1" x14ac:dyDescent="0.25"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spans="2:11" s="41" customFormat="1" x14ac:dyDescent="0.25"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spans="2:11" s="41" customFormat="1" x14ac:dyDescent="0.25"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spans="2:11" s="41" customFormat="1" x14ac:dyDescent="0.25"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spans="2:11" s="41" customFormat="1" x14ac:dyDescent="0.25"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spans="2:11" s="41" customFormat="1" x14ac:dyDescent="0.25"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spans="2:11" s="41" customFormat="1" x14ac:dyDescent="0.25"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spans="2:11" s="41" customFormat="1" x14ac:dyDescent="0.25"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spans="2:11" s="41" customFormat="1" x14ac:dyDescent="0.25"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spans="2:11" s="41" customFormat="1" x14ac:dyDescent="0.25"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spans="2:11" s="41" customFormat="1" x14ac:dyDescent="0.25"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spans="2:11" s="41" customFormat="1" x14ac:dyDescent="0.25"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spans="2:11" s="41" customFormat="1" x14ac:dyDescent="0.25"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spans="2:11" s="41" customFormat="1" x14ac:dyDescent="0.25"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spans="2:11" s="41" customFormat="1" x14ac:dyDescent="0.25"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spans="2:11" s="41" customFormat="1" x14ac:dyDescent="0.25"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spans="2:11" s="41" customFormat="1" x14ac:dyDescent="0.25"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spans="2:11" s="41" customFormat="1" x14ac:dyDescent="0.25"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spans="2:11" s="41" customFormat="1" x14ac:dyDescent="0.25"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spans="2:11" s="41" customFormat="1" x14ac:dyDescent="0.25"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spans="2:11" s="41" customFormat="1" x14ac:dyDescent="0.25"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spans="2:11" s="41" customFormat="1" x14ac:dyDescent="0.25"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spans="2:11" s="41" customFormat="1" x14ac:dyDescent="0.25"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spans="2:11" s="41" customFormat="1" x14ac:dyDescent="0.25"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spans="2:11" s="41" customFormat="1" x14ac:dyDescent="0.25"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spans="2:11" s="41" customFormat="1" x14ac:dyDescent="0.25"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spans="2:11" s="41" customFormat="1" x14ac:dyDescent="0.25"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spans="2:11" s="41" customFormat="1" x14ac:dyDescent="0.25"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spans="2:11" s="41" customFormat="1" x14ac:dyDescent="0.25"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spans="2:11" s="41" customFormat="1" x14ac:dyDescent="0.25"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spans="2:11" s="41" customFormat="1" x14ac:dyDescent="0.25"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spans="2:11" s="41" customFormat="1" x14ac:dyDescent="0.25"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spans="2:11" s="41" customFormat="1" x14ac:dyDescent="0.25"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spans="2:11" s="41" customFormat="1" x14ac:dyDescent="0.25"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spans="2:11" s="41" customFormat="1" x14ac:dyDescent="0.25"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spans="2:11" s="41" customFormat="1" x14ac:dyDescent="0.25"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spans="2:11" s="41" customFormat="1" x14ac:dyDescent="0.25"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spans="2:11" s="41" customFormat="1" x14ac:dyDescent="0.25"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spans="2:11" s="41" customFormat="1" x14ac:dyDescent="0.25"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spans="2:11" s="41" customFormat="1" x14ac:dyDescent="0.25"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spans="2:11" s="41" customFormat="1" x14ac:dyDescent="0.25"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spans="2:11" s="41" customFormat="1" x14ac:dyDescent="0.25"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spans="2:11" s="41" customFormat="1" x14ac:dyDescent="0.25"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spans="2:11" s="41" customFormat="1" x14ac:dyDescent="0.25"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spans="2:11" s="41" customFormat="1" x14ac:dyDescent="0.25"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spans="2:11" s="41" customFormat="1" x14ac:dyDescent="0.25"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spans="2:11" s="41" customFormat="1" x14ac:dyDescent="0.25"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spans="2:11" s="41" customFormat="1" x14ac:dyDescent="0.25"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spans="2:11" s="41" customFormat="1" x14ac:dyDescent="0.25"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spans="2:11" s="41" customFormat="1" x14ac:dyDescent="0.25"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spans="2:11" s="41" customFormat="1" x14ac:dyDescent="0.25"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spans="2:11" s="41" customFormat="1" x14ac:dyDescent="0.25"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spans="2:11" s="41" customFormat="1" x14ac:dyDescent="0.25"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spans="2:11" s="41" customFormat="1" x14ac:dyDescent="0.25"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spans="2:11" s="41" customFormat="1" x14ac:dyDescent="0.25"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spans="2:11" s="41" customFormat="1" x14ac:dyDescent="0.25"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spans="2:11" s="41" customFormat="1" x14ac:dyDescent="0.25"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spans="2:11" s="41" customFormat="1" x14ac:dyDescent="0.25"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</sheetData>
  <mergeCells count="16">
    <mergeCell ref="N32:O32"/>
    <mergeCell ref="B16:B20"/>
    <mergeCell ref="C16:C20"/>
    <mergeCell ref="H18:H19"/>
    <mergeCell ref="J18:J19"/>
    <mergeCell ref="I20:I21"/>
    <mergeCell ref="B22:B23"/>
    <mergeCell ref="C22:C23"/>
    <mergeCell ref="D22:F22"/>
    <mergeCell ref="H22:K22"/>
    <mergeCell ref="E3:K3"/>
    <mergeCell ref="G4:I4"/>
    <mergeCell ref="G5:I5"/>
    <mergeCell ref="G6:I6"/>
    <mergeCell ref="G7:I7"/>
    <mergeCell ref="B11:E1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607612D-1A10-41D9-8B01-CB9EBC0E636D}">
          <x14:formula1>
            <xm:f>Referencias!$A$8:$E$8</xm:f>
          </x14:formula1>
          <xm:sqref>H24:K173</xm:sqref>
        </x14:dataValidation>
        <x14:dataValidation type="list" allowBlank="1" showInputMessage="1" showErrorMessage="1" xr:uid="{F29C5921-18E7-4DC1-A5CB-004C55A6DD2A}">
          <x14:formula1>
            <xm:f>Referencias!$B$1:$D$1</xm:f>
          </x14:formula1>
          <xm:sqref>E15</xm:sqref>
        </x14:dataValidation>
        <x14:dataValidation type="list" allowBlank="1" showInputMessage="1" showErrorMessage="1" xr:uid="{7187CD39-BAB5-4269-911E-D7C562E535E1}">
          <x14:formula1>
            <xm:f>Referencias!$B$6:$D$6</xm:f>
          </x14:formula1>
          <xm:sqref>E19</xm:sqref>
        </x14:dataValidation>
        <x14:dataValidation type="list" allowBlank="1" showInputMessage="1" showErrorMessage="1" xr:uid="{2FED4CA5-9F65-4CD4-9838-743D10DB6A5C}">
          <x14:formula1>
            <xm:f>Referencias!$B$5:$E$5</xm:f>
          </x14:formula1>
          <xm:sqref>K9 K13:L13 K11</xm:sqref>
        </x14:dataValidation>
        <x14:dataValidation type="list" allowBlank="1" showInputMessage="1" showErrorMessage="1" xr:uid="{A4258485-6C8E-4519-ABAD-1C13ADB39A75}">
          <x14:formula1>
            <xm:f>Referencias!$B$2:$K$2</xm:f>
          </x14:formula1>
          <xm:sqref>E17</xm:sqref>
        </x14:dataValidation>
        <x14:dataValidation type="list" allowBlank="1" showInputMessage="1" showErrorMessage="1" xr:uid="{51952BE6-55CB-4D33-8909-9B6489173B70}">
          <x14:formula1>
            <xm:f>Referencias!$B$3:$E$3</xm:f>
          </x14:formula1>
          <xm:sqref>E16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E9" sqref="E9"/>
    </sheetView>
  </sheetViews>
  <sheetFormatPr baseColWidth="10" defaultRowHeight="15" x14ac:dyDescent="0.25"/>
  <cols>
    <col min="1" max="1" width="15" bestFit="1" customWidth="1"/>
    <col min="2" max="2" width="12" bestFit="1" customWidth="1"/>
  </cols>
  <sheetData>
    <row r="1" spans="1:11" x14ac:dyDescent="0.25">
      <c r="A1" t="s">
        <v>6</v>
      </c>
      <c r="B1" t="s">
        <v>32</v>
      </c>
      <c r="C1" t="s">
        <v>33</v>
      </c>
      <c r="D1" t="s">
        <v>23</v>
      </c>
    </row>
    <row r="2" spans="1:11" x14ac:dyDescent="0.25">
      <c r="A2" t="s">
        <v>15</v>
      </c>
      <c r="B2">
        <v>3</v>
      </c>
      <c r="C2">
        <v>5.5</v>
      </c>
      <c r="D2">
        <v>4</v>
      </c>
      <c r="E2">
        <v>6</v>
      </c>
      <c r="F2">
        <v>9</v>
      </c>
      <c r="G2">
        <v>12</v>
      </c>
      <c r="H2">
        <v>15</v>
      </c>
      <c r="I2">
        <v>18</v>
      </c>
      <c r="J2">
        <v>25</v>
      </c>
      <c r="K2">
        <v>30</v>
      </c>
    </row>
    <row r="3" spans="1:11" x14ac:dyDescent="0.25">
      <c r="A3" t="s">
        <v>16</v>
      </c>
      <c r="B3" t="s">
        <v>14</v>
      </c>
      <c r="C3" t="s">
        <v>13</v>
      </c>
      <c r="D3" t="s">
        <v>17</v>
      </c>
      <c r="E3" t="s">
        <v>23</v>
      </c>
    </row>
    <row r="4" spans="1:11" x14ac:dyDescent="0.25">
      <c r="A4" t="s">
        <v>7</v>
      </c>
      <c r="B4" t="s">
        <v>18</v>
      </c>
    </row>
    <row r="5" spans="1:11" x14ac:dyDescent="0.25">
      <c r="A5" t="s">
        <v>19</v>
      </c>
      <c r="B5" t="s">
        <v>28</v>
      </c>
      <c r="C5" t="s">
        <v>30</v>
      </c>
      <c r="D5" t="s">
        <v>29</v>
      </c>
    </row>
    <row r="6" spans="1:11" x14ac:dyDescent="0.25">
      <c r="A6" t="s">
        <v>5</v>
      </c>
      <c r="B6" t="s">
        <v>2</v>
      </c>
      <c r="C6" t="s">
        <v>43</v>
      </c>
      <c r="D6" t="s">
        <v>3</v>
      </c>
    </row>
    <row r="7" spans="1:11" x14ac:dyDescent="0.25">
      <c r="A7" t="s">
        <v>27</v>
      </c>
    </row>
    <row r="8" spans="1:11" x14ac:dyDescent="0.25">
      <c r="A8">
        <v>1</v>
      </c>
      <c r="C8">
        <v>2</v>
      </c>
      <c r="E8">
        <v>3</v>
      </c>
    </row>
  </sheetData>
  <dataValidations count="1">
    <dataValidation type="list" allowBlank="1" showInputMessage="1" showErrorMessage="1" sqref="B1:C1" xr:uid="{00000000-0002-0000-0100-000000000000}">
      <formula1>$B$1:$C$1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Mariano Di Bacco</cp:lastModifiedBy>
  <cp:lastPrinted>2020-10-07T17:26:31Z</cp:lastPrinted>
  <dcterms:created xsi:type="dcterms:W3CDTF">2020-08-22T21:41:52Z</dcterms:created>
  <dcterms:modified xsi:type="dcterms:W3CDTF">2025-02-16T20:31:16Z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c7096b95-654d-444e-afa6-d9b759067979</vt:lpwstr>
  </property>
</Properties>
</file>